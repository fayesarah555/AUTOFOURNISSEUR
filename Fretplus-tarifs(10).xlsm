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fretplus-my.sharepoint.com/personal/mouarti_fretplus_fr/Documents/"/>
    </mc:Choice>
  </mc:AlternateContent>
  <xr:revisionPtr revIDLastSave="0" documentId="8_{A07C9F65-7408-400D-94A4-59ADCB8DCC7D}" xr6:coauthVersionLast="47" xr6:coauthVersionMax="47" xr10:uidLastSave="{00000000-0000-0000-0000-000000000000}"/>
  <bookViews>
    <workbookView xWindow="-120" yWindow="-120" windowWidth="29040" windowHeight="15720" tabRatio="675" activeTab="3" xr2:uid="{00000000-000D-0000-FFFF-FFFF00000000}"/>
  </bookViews>
  <sheets>
    <sheet name="Descriptif" sheetId="17" r:id="rId1"/>
    <sheet name="Tarif départ IDF" sheetId="14" r:id="rId2"/>
    <sheet name="Hors IDF ZC" sheetId="15" r:id="rId3"/>
    <sheet name="Hors IDF ZL" sheetId="1" r:id="rId4"/>
    <sheet name="€ km" sheetId="6" r:id="rId5"/>
    <sheet name="Equivalence Mpl Palette" sheetId="16" r:id="rId6"/>
    <sheet name="Frais Annexes" sheetId="18" r:id="rId7"/>
    <sheet name="Model de recherche " sheetId="19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" i="14" l="1"/>
  <c r="J25" i="14" s="1"/>
  <c r="K25" i="14"/>
  <c r="L25" i="14" s="1"/>
  <c r="M25" i="14" s="1"/>
  <c r="N25" i="14" s="1"/>
  <c r="O25" i="14"/>
  <c r="P25" i="14" s="1"/>
  <c r="Q25" i="14" s="1"/>
  <c r="R25" i="14" s="1"/>
  <c r="S25" i="14" s="1"/>
  <c r="T25" i="14" s="1"/>
  <c r="U25" i="14" s="1"/>
  <c r="V25" i="14" s="1"/>
  <c r="W25" i="14" s="1"/>
  <c r="X25" i="14" s="1"/>
  <c r="Y25" i="14" s="1"/>
  <c r="Z25" i="14" s="1"/>
  <c r="AA25" i="14" s="1"/>
  <c r="AB25" i="14" s="1"/>
  <c r="AC25" i="14" s="1"/>
  <c r="AD25" i="14" s="1"/>
  <c r="AE25" i="14" s="1"/>
  <c r="AF25" i="14" s="1"/>
  <c r="AG25" i="14" s="1"/>
  <c r="AH25" i="14" s="1"/>
  <c r="I26" i="14"/>
  <c r="J26" i="14" s="1"/>
  <c r="K26" i="14" s="1"/>
  <c r="L26" i="14" s="1"/>
  <c r="M26" i="14"/>
  <c r="N26" i="14"/>
  <c r="O26" i="14"/>
  <c r="P26" i="14" s="1"/>
  <c r="Q26" i="14" s="1"/>
  <c r="R26" i="14" s="1"/>
  <c r="S26" i="14" s="1"/>
  <c r="T26" i="14" s="1"/>
  <c r="U26" i="14" s="1"/>
  <c r="V26" i="14" s="1"/>
  <c r="W26" i="14" s="1"/>
  <c r="X26" i="14" s="1"/>
  <c r="Y26" i="14" s="1"/>
  <c r="Z26" i="14" s="1"/>
  <c r="AA26" i="14" s="1"/>
  <c r="AB26" i="14" s="1"/>
  <c r="AC26" i="14" s="1"/>
  <c r="AD26" i="14" s="1"/>
  <c r="AE26" i="14" s="1"/>
  <c r="AF26" i="14" s="1"/>
  <c r="AG26" i="14" s="1"/>
  <c r="AH26" i="14" s="1"/>
  <c r="I27" i="14"/>
  <c r="J27" i="14" s="1"/>
  <c r="K27" i="14"/>
  <c r="L27" i="14"/>
  <c r="M27" i="14" s="1"/>
  <c r="N27" i="14" s="1"/>
  <c r="O27" i="14" s="1"/>
  <c r="P27" i="14" s="1"/>
  <c r="Q27" i="14" s="1"/>
  <c r="R27" i="14" s="1"/>
  <c r="S27" i="14" s="1"/>
  <c r="T27" i="14" s="1"/>
  <c r="U27" i="14" s="1"/>
  <c r="V27" i="14" s="1"/>
  <c r="W27" i="14" s="1"/>
  <c r="X27" i="14" s="1"/>
  <c r="Y27" i="14" s="1"/>
  <c r="Z27" i="14" s="1"/>
  <c r="AA27" i="14" s="1"/>
  <c r="AB27" i="14" s="1"/>
  <c r="AC27" i="14" s="1"/>
  <c r="AD27" i="14" s="1"/>
  <c r="AE27" i="14" s="1"/>
  <c r="AF27" i="14" s="1"/>
  <c r="AG27" i="14" s="1"/>
  <c r="AH27" i="14" s="1"/>
  <c r="I28" i="14"/>
  <c r="J28" i="14" s="1"/>
  <c r="K28" i="14" s="1"/>
  <c r="L28" i="14" s="1"/>
  <c r="M28" i="14" s="1"/>
  <c r="N28" i="14" s="1"/>
  <c r="O28" i="14" s="1"/>
  <c r="P28" i="14" s="1"/>
  <c r="Q28" i="14" s="1"/>
  <c r="R28" i="14" s="1"/>
  <c r="S28" i="14" s="1"/>
  <c r="T28" i="14" s="1"/>
  <c r="U28" i="14" s="1"/>
  <c r="V28" i="14" s="1"/>
  <c r="W28" i="14" s="1"/>
  <c r="X28" i="14" s="1"/>
  <c r="Y28" i="14" s="1"/>
  <c r="Z28" i="14" s="1"/>
  <c r="AA28" i="14" s="1"/>
  <c r="AB28" i="14" s="1"/>
  <c r="AC28" i="14" s="1"/>
  <c r="AD28" i="14" s="1"/>
  <c r="AE28" i="14" s="1"/>
  <c r="AF28" i="14" s="1"/>
  <c r="AG28" i="14"/>
  <c r="AH28" i="14" s="1"/>
  <c r="I29" i="14"/>
  <c r="J29" i="14"/>
  <c r="K29" i="14" s="1"/>
  <c r="L29" i="14" s="1"/>
  <c r="M29" i="14" s="1"/>
  <c r="N29" i="14" s="1"/>
  <c r="O29" i="14"/>
  <c r="P29" i="14" s="1"/>
  <c r="Q29" i="14" s="1"/>
  <c r="R29" i="14" s="1"/>
  <c r="S29" i="14"/>
  <c r="T29" i="14"/>
  <c r="U29" i="14" s="1"/>
  <c r="V29" i="14"/>
  <c r="W29" i="14" s="1"/>
  <c r="X29" i="14" s="1"/>
  <c r="Y29" i="14" s="1"/>
  <c r="Z29" i="14" s="1"/>
  <c r="AA29" i="14" s="1"/>
  <c r="AB29" i="14" s="1"/>
  <c r="AC29" i="14" s="1"/>
  <c r="AD29" i="14" s="1"/>
  <c r="AE29" i="14" s="1"/>
  <c r="AF29" i="14" s="1"/>
  <c r="AG29" i="14" s="1"/>
  <c r="AH29" i="14" s="1"/>
  <c r="I30" i="14"/>
  <c r="J30" i="14"/>
  <c r="K30" i="14" s="1"/>
  <c r="L30" i="14" s="1"/>
  <c r="M30" i="14"/>
  <c r="N30" i="14" s="1"/>
  <c r="O30" i="14" s="1"/>
  <c r="P30" i="14" s="1"/>
  <c r="Q30" i="14" s="1"/>
  <c r="R30" i="14" s="1"/>
  <c r="S30" i="14" s="1"/>
  <c r="T30" i="14" s="1"/>
  <c r="U30" i="14" s="1"/>
  <c r="V30" i="14" s="1"/>
  <c r="W30" i="14" s="1"/>
  <c r="X30" i="14" s="1"/>
  <c r="Y30" i="14" s="1"/>
  <c r="Z30" i="14" s="1"/>
  <c r="AA30" i="14" s="1"/>
  <c r="AB30" i="14" s="1"/>
  <c r="AC30" i="14" s="1"/>
  <c r="AD30" i="14" s="1"/>
  <c r="AE30" i="14" s="1"/>
  <c r="AF30" i="14" s="1"/>
  <c r="AG30" i="14" s="1"/>
  <c r="AH30" i="14" s="1"/>
  <c r="I31" i="14"/>
  <c r="J31" i="14" s="1"/>
  <c r="K31" i="14"/>
  <c r="L31" i="14" s="1"/>
  <c r="M31" i="14" s="1"/>
  <c r="N31" i="14" s="1"/>
  <c r="O31" i="14"/>
  <c r="P31" i="14" s="1"/>
  <c r="Q31" i="14" s="1"/>
  <c r="R31" i="14"/>
  <c r="S31" i="14" s="1"/>
  <c r="T31" i="14" s="1"/>
  <c r="U31" i="14" s="1"/>
  <c r="V31" i="14" s="1"/>
  <c r="W31" i="14" s="1"/>
  <c r="X31" i="14" s="1"/>
  <c r="Y31" i="14" s="1"/>
  <c r="Z31" i="14" s="1"/>
  <c r="AA31" i="14" s="1"/>
  <c r="AB31" i="14" s="1"/>
  <c r="AC31" i="14" s="1"/>
  <c r="AD31" i="14" s="1"/>
  <c r="AE31" i="14" s="1"/>
  <c r="AF31" i="14" s="1"/>
  <c r="AG31" i="14" s="1"/>
  <c r="AH31" i="14" s="1"/>
  <c r="I32" i="14"/>
  <c r="J32" i="14" s="1"/>
  <c r="K32" i="14" s="1"/>
  <c r="L32" i="14" s="1"/>
  <c r="M32" i="14"/>
  <c r="N32" i="14"/>
  <c r="O32" i="14" s="1"/>
  <c r="P32" i="14" s="1"/>
  <c r="Q32" i="14" s="1"/>
  <c r="R32" i="14" s="1"/>
  <c r="S32" i="14" s="1"/>
  <c r="T32" i="14" s="1"/>
  <c r="U32" i="14" s="1"/>
  <c r="V32" i="14" s="1"/>
  <c r="W32" i="14" s="1"/>
  <c r="X32" i="14" s="1"/>
  <c r="Y32" i="14" s="1"/>
  <c r="Z32" i="14" s="1"/>
  <c r="AA32" i="14" s="1"/>
  <c r="AB32" i="14" s="1"/>
  <c r="AC32" i="14" s="1"/>
  <c r="AD32" i="14" s="1"/>
  <c r="AE32" i="14" s="1"/>
  <c r="AF32" i="14" s="1"/>
  <c r="AG32" i="14" s="1"/>
  <c r="AH32" i="14" s="1"/>
  <c r="I33" i="14"/>
  <c r="J33" i="14" s="1"/>
  <c r="K33" i="14"/>
  <c r="L33" i="14"/>
  <c r="M33" i="14"/>
  <c r="N33" i="14"/>
  <c r="O33" i="14"/>
  <c r="P33" i="14"/>
  <c r="Q33" i="14" s="1"/>
  <c r="R33" i="14" s="1"/>
  <c r="S33" i="14" s="1"/>
  <c r="T33" i="14" s="1"/>
  <c r="U33" i="14" s="1"/>
  <c r="V33" i="14" s="1"/>
  <c r="W33" i="14" s="1"/>
  <c r="X33" i="14" s="1"/>
  <c r="Y33" i="14" s="1"/>
  <c r="Z33" i="14" s="1"/>
  <c r="AA33" i="14" s="1"/>
  <c r="AB33" i="14" s="1"/>
  <c r="AC33" i="14" s="1"/>
  <c r="AD33" i="14" s="1"/>
  <c r="AE33" i="14" s="1"/>
  <c r="AF33" i="14" s="1"/>
  <c r="AG33" i="14" s="1"/>
  <c r="AH33" i="14" s="1"/>
  <c r="I34" i="14"/>
  <c r="J34" i="14"/>
  <c r="K34" i="14" s="1"/>
  <c r="L34" i="14"/>
  <c r="M34" i="14"/>
  <c r="N34" i="14" s="1"/>
  <c r="O34" i="14" s="1"/>
  <c r="P34" i="14" s="1"/>
  <c r="Q34" i="14" s="1"/>
  <c r="R34" i="14" s="1"/>
  <c r="S34" i="14" s="1"/>
  <c r="T34" i="14" s="1"/>
  <c r="U34" i="14" s="1"/>
  <c r="V34" i="14" s="1"/>
  <c r="W34" i="14" s="1"/>
  <c r="X34" i="14" s="1"/>
  <c r="Y34" i="14" s="1"/>
  <c r="Z34" i="14"/>
  <c r="AA34" i="14" s="1"/>
  <c r="AB34" i="14" s="1"/>
  <c r="AC34" i="14"/>
  <c r="AD34" i="14" s="1"/>
  <c r="AE34" i="14" s="1"/>
  <c r="AF34" i="14" s="1"/>
  <c r="AG34" i="14" s="1"/>
  <c r="AH34" i="14"/>
  <c r="I35" i="14"/>
  <c r="J35" i="14"/>
  <c r="K35" i="14" s="1"/>
  <c r="L35" i="14" s="1"/>
  <c r="M35" i="14" s="1"/>
  <c r="N35" i="14" s="1"/>
  <c r="O35" i="14" s="1"/>
  <c r="P35" i="14" s="1"/>
  <c r="Q35" i="14" s="1"/>
  <c r="R35" i="14" s="1"/>
  <c r="S35" i="14" s="1"/>
  <c r="T35" i="14" s="1"/>
  <c r="U35" i="14" s="1"/>
  <c r="V35" i="14" s="1"/>
  <c r="W35" i="14" s="1"/>
  <c r="X35" i="14" s="1"/>
  <c r="Y35" i="14" s="1"/>
  <c r="Z35" i="14" s="1"/>
  <c r="AA35" i="14" s="1"/>
  <c r="AB35" i="14" s="1"/>
  <c r="AC35" i="14" s="1"/>
  <c r="AD35" i="14" s="1"/>
  <c r="AE35" i="14" s="1"/>
  <c r="AF35" i="14" s="1"/>
  <c r="AG35" i="14" s="1"/>
  <c r="AH35" i="14" s="1"/>
  <c r="I36" i="14"/>
  <c r="J36" i="14" s="1"/>
  <c r="K36" i="14" s="1"/>
  <c r="L36" i="14" s="1"/>
  <c r="M36" i="14" s="1"/>
  <c r="N36" i="14" s="1"/>
  <c r="O36" i="14" s="1"/>
  <c r="P36" i="14" s="1"/>
  <c r="Q36" i="14"/>
  <c r="R36" i="14" s="1"/>
  <c r="S36" i="14" s="1"/>
  <c r="T36" i="14" s="1"/>
  <c r="U36" i="14" s="1"/>
  <c r="V36" i="14" s="1"/>
  <c r="W36" i="14" s="1"/>
  <c r="X36" i="14" s="1"/>
  <c r="Y36" i="14" s="1"/>
  <c r="Z36" i="14" s="1"/>
  <c r="AA36" i="14" s="1"/>
  <c r="AB36" i="14" s="1"/>
  <c r="AC36" i="14" s="1"/>
  <c r="AD36" i="14" s="1"/>
  <c r="AE36" i="14" s="1"/>
  <c r="AF36" i="14" s="1"/>
  <c r="AG36" i="14" s="1"/>
  <c r="AH36" i="14" s="1"/>
  <c r="I37" i="14"/>
  <c r="J37" i="14" s="1"/>
  <c r="K37" i="14"/>
  <c r="L37" i="14" s="1"/>
  <c r="M37" i="14" s="1"/>
  <c r="N37" i="14" s="1"/>
  <c r="O37" i="14" s="1"/>
  <c r="P37" i="14" s="1"/>
  <c r="Q37" i="14" s="1"/>
  <c r="R37" i="14" s="1"/>
  <c r="S37" i="14" s="1"/>
  <c r="T37" i="14" s="1"/>
  <c r="U37" i="14" s="1"/>
  <c r="V37" i="14" s="1"/>
  <c r="W37" i="14" s="1"/>
  <c r="X37" i="14" s="1"/>
  <c r="Y37" i="14" s="1"/>
  <c r="Z37" i="14" s="1"/>
  <c r="AA37" i="14" s="1"/>
  <c r="AB37" i="14" s="1"/>
  <c r="AC37" i="14" s="1"/>
  <c r="AD37" i="14" s="1"/>
  <c r="AE37" i="14"/>
  <c r="AF37" i="14"/>
  <c r="AG37" i="14" s="1"/>
  <c r="AH37" i="14" s="1"/>
  <c r="I38" i="14"/>
  <c r="J38" i="14" s="1"/>
  <c r="K38" i="14" s="1"/>
  <c r="L38" i="14" s="1"/>
  <c r="M38" i="14" s="1"/>
  <c r="N38" i="14" s="1"/>
  <c r="O38" i="14" s="1"/>
  <c r="P38" i="14" s="1"/>
  <c r="Q38" i="14" s="1"/>
  <c r="R38" i="14" s="1"/>
  <c r="S38" i="14" s="1"/>
  <c r="T38" i="14" s="1"/>
  <c r="U38" i="14" s="1"/>
  <c r="V38" i="14" s="1"/>
  <c r="W38" i="14" s="1"/>
  <c r="X38" i="14" s="1"/>
  <c r="Y38" i="14" s="1"/>
  <c r="Z38" i="14" s="1"/>
  <c r="AA38" i="14" s="1"/>
  <c r="AB38" i="14" s="1"/>
  <c r="AC38" i="14" s="1"/>
  <c r="AD38" i="14" s="1"/>
  <c r="AE38" i="14" s="1"/>
  <c r="AF38" i="14" s="1"/>
  <c r="AG38" i="14" s="1"/>
  <c r="AH38" i="14" s="1"/>
  <c r="I39" i="14"/>
  <c r="J39" i="14" s="1"/>
  <c r="K39" i="14"/>
  <c r="L39" i="14"/>
  <c r="M39" i="14" s="1"/>
  <c r="N39" i="14" s="1"/>
  <c r="O39" i="14"/>
  <c r="P39" i="14" s="1"/>
  <c r="Q39" i="14" s="1"/>
  <c r="R39" i="14" s="1"/>
  <c r="S39" i="14"/>
  <c r="T39" i="14" s="1"/>
  <c r="U39" i="14" s="1"/>
  <c r="V39" i="14" s="1"/>
  <c r="W39" i="14" s="1"/>
  <c r="X39" i="14" s="1"/>
  <c r="Y39" i="14"/>
  <c r="Z39" i="14" s="1"/>
  <c r="AA39" i="14" s="1"/>
  <c r="AB39" i="14"/>
  <c r="AC39" i="14" s="1"/>
  <c r="AD39" i="14" s="1"/>
  <c r="AE39" i="14" s="1"/>
  <c r="AF39" i="14" s="1"/>
  <c r="AG39" i="14" s="1"/>
  <c r="AH39" i="14" s="1"/>
  <c r="I40" i="14"/>
  <c r="J40" i="14"/>
  <c r="K40" i="14" s="1"/>
  <c r="L40" i="14" s="1"/>
  <c r="M40" i="14" s="1"/>
  <c r="N40" i="14" s="1"/>
  <c r="O40" i="14" s="1"/>
  <c r="P40" i="14" s="1"/>
  <c r="Q40" i="14" s="1"/>
  <c r="R40" i="14" s="1"/>
  <c r="S40" i="14" s="1"/>
  <c r="T40" i="14" s="1"/>
  <c r="U40" i="14" s="1"/>
  <c r="V40" i="14" s="1"/>
  <c r="W40" i="14" s="1"/>
  <c r="X40" i="14" s="1"/>
  <c r="Y40" i="14" s="1"/>
  <c r="Z40" i="14" s="1"/>
  <c r="AA40" i="14" s="1"/>
  <c r="AB40" i="14" s="1"/>
  <c r="AC40" i="14" s="1"/>
  <c r="AD40" i="14" s="1"/>
  <c r="AE40" i="14" s="1"/>
  <c r="AF40" i="14" s="1"/>
  <c r="AG40" i="14" s="1"/>
  <c r="AH40" i="14" s="1"/>
  <c r="I41" i="14"/>
  <c r="J41" i="14" s="1"/>
  <c r="K41" i="14" s="1"/>
  <c r="L41" i="14" s="1"/>
  <c r="M41" i="14" s="1"/>
  <c r="N41" i="14" s="1"/>
  <c r="O41" i="14" s="1"/>
  <c r="P41" i="14" s="1"/>
  <c r="Q41" i="14" s="1"/>
  <c r="R41" i="14" s="1"/>
  <c r="S41" i="14" s="1"/>
  <c r="T41" i="14" s="1"/>
  <c r="U41" i="14" s="1"/>
  <c r="V41" i="14" s="1"/>
  <c r="W41" i="14" s="1"/>
  <c r="X41" i="14" s="1"/>
  <c r="Y41" i="14" s="1"/>
  <c r="Z41" i="14" s="1"/>
  <c r="AA41" i="14" s="1"/>
  <c r="AB41" i="14" s="1"/>
  <c r="AC41" i="14" s="1"/>
  <c r="AD41" i="14" s="1"/>
  <c r="AE41" i="14" s="1"/>
  <c r="AF41" i="14" s="1"/>
  <c r="AG41" i="14" s="1"/>
  <c r="AH41" i="14" s="1"/>
  <c r="I42" i="14"/>
  <c r="J42" i="14" s="1"/>
  <c r="K42" i="14" s="1"/>
  <c r="L42" i="14" s="1"/>
  <c r="M42" i="14" s="1"/>
  <c r="N42" i="14" s="1"/>
  <c r="O42" i="14" s="1"/>
  <c r="P42" i="14" s="1"/>
  <c r="Q42" i="14"/>
  <c r="R42" i="14" s="1"/>
  <c r="S42" i="14"/>
  <c r="T42" i="14" s="1"/>
  <c r="U42" i="14" s="1"/>
  <c r="V42" i="14" s="1"/>
  <c r="W42" i="14" s="1"/>
  <c r="X42" i="14" s="1"/>
  <c r="Y42" i="14" s="1"/>
  <c r="Z42" i="14" s="1"/>
  <c r="AA42" i="14" s="1"/>
  <c r="AB42" i="14" s="1"/>
  <c r="AC42" i="14" s="1"/>
  <c r="AD42" i="14" s="1"/>
  <c r="AE42" i="14"/>
  <c r="AF42" i="14"/>
  <c r="AG42" i="14"/>
  <c r="AH42" i="14" s="1"/>
  <c r="I43" i="14"/>
  <c r="J43" i="14" s="1"/>
  <c r="K43" i="14" s="1"/>
  <c r="L43" i="14" s="1"/>
  <c r="M43" i="14" s="1"/>
  <c r="N43" i="14"/>
  <c r="O43" i="14" s="1"/>
  <c r="P43" i="14" s="1"/>
  <c r="Q43" i="14"/>
  <c r="R43" i="14" s="1"/>
  <c r="S43" i="14" s="1"/>
  <c r="T43" i="14" s="1"/>
  <c r="U43" i="14" s="1"/>
  <c r="V43" i="14" s="1"/>
  <c r="W43" i="14" s="1"/>
  <c r="X43" i="14" s="1"/>
  <c r="Y43" i="14" s="1"/>
  <c r="Z43" i="14" s="1"/>
  <c r="AA43" i="14" s="1"/>
  <c r="AB43" i="14" s="1"/>
  <c r="AC43" i="14" s="1"/>
  <c r="AD43" i="14" s="1"/>
  <c r="AE43" i="14" s="1"/>
  <c r="AF43" i="14"/>
  <c r="AG43" i="14" s="1"/>
  <c r="AH43" i="14" s="1"/>
  <c r="I44" i="14"/>
  <c r="J44" i="14" s="1"/>
  <c r="K44" i="14"/>
  <c r="L44" i="14"/>
  <c r="M44" i="14"/>
  <c r="N44" i="14" s="1"/>
  <c r="O44" i="14"/>
  <c r="P44" i="14" s="1"/>
  <c r="Q44" i="14" s="1"/>
  <c r="R44" i="14" s="1"/>
  <c r="S44" i="14" s="1"/>
  <c r="T44" i="14" s="1"/>
  <c r="U44" i="14" s="1"/>
  <c r="V44" i="14" s="1"/>
  <c r="W44" i="14" s="1"/>
  <c r="X44" i="14" s="1"/>
  <c r="Y44" i="14" s="1"/>
  <c r="Z44" i="14" s="1"/>
  <c r="AA44" i="14" s="1"/>
  <c r="AB44" i="14" s="1"/>
  <c r="AC44" i="14" s="1"/>
  <c r="AD44" i="14" s="1"/>
  <c r="AE44" i="14" s="1"/>
  <c r="AF44" i="14" s="1"/>
  <c r="AG44" i="14" s="1"/>
  <c r="AH44" i="14" s="1"/>
  <c r="I45" i="14"/>
  <c r="J45" i="14"/>
  <c r="K45" i="14" s="1"/>
  <c r="L45" i="14" s="1"/>
  <c r="M45" i="14" s="1"/>
  <c r="N45" i="14" s="1"/>
  <c r="O45" i="14" s="1"/>
  <c r="P45" i="14" s="1"/>
  <c r="Q45" i="14" s="1"/>
  <c r="R45" i="14" s="1"/>
  <c r="S45" i="14" s="1"/>
  <c r="T45" i="14" s="1"/>
  <c r="U45" i="14" s="1"/>
  <c r="V45" i="14" s="1"/>
  <c r="W45" i="14" s="1"/>
  <c r="X45" i="14" s="1"/>
  <c r="Y45" i="14" s="1"/>
  <c r="Z45" i="14" s="1"/>
  <c r="AA45" i="14" s="1"/>
  <c r="AB45" i="14" s="1"/>
  <c r="AC45" i="14" s="1"/>
  <c r="AD45" i="14" s="1"/>
  <c r="AE45" i="14" s="1"/>
  <c r="AF45" i="14" s="1"/>
  <c r="AG45" i="14" s="1"/>
  <c r="AH45" i="14" s="1"/>
  <c r="I46" i="14"/>
  <c r="J46" i="14" s="1"/>
  <c r="K46" i="14" s="1"/>
  <c r="L46" i="14" s="1"/>
  <c r="M46" i="14" s="1"/>
  <c r="N46" i="14" s="1"/>
  <c r="O46" i="14" s="1"/>
  <c r="P46" i="14" s="1"/>
  <c r="Q46" i="14" s="1"/>
  <c r="R46" i="14" s="1"/>
  <c r="S46" i="14"/>
  <c r="T46" i="14"/>
  <c r="U46" i="14"/>
  <c r="V46" i="14"/>
  <c r="W46" i="14"/>
  <c r="X46" i="14"/>
  <c r="Y46" i="14" s="1"/>
  <c r="Z46" i="14" s="1"/>
  <c r="AA46" i="14" s="1"/>
  <c r="AB46" i="14" s="1"/>
  <c r="AC46" i="14" s="1"/>
  <c r="AD46" i="14" s="1"/>
  <c r="AE46" i="14" s="1"/>
  <c r="AF46" i="14" s="1"/>
  <c r="AG46" i="14" s="1"/>
  <c r="AH46" i="14" s="1"/>
  <c r="I47" i="14"/>
  <c r="J47" i="14" s="1"/>
  <c r="K47" i="14"/>
  <c r="L47" i="14"/>
  <c r="M47" i="14" s="1"/>
  <c r="N47" i="14" s="1"/>
  <c r="O47" i="14" s="1"/>
  <c r="P47" i="14" s="1"/>
  <c r="Q47" i="14" s="1"/>
  <c r="R47" i="14" s="1"/>
  <c r="S47" i="14" s="1"/>
  <c r="T47" i="14" s="1"/>
  <c r="U47" i="14" s="1"/>
  <c r="V47" i="14"/>
  <c r="W47" i="14"/>
  <c r="X47" i="14" s="1"/>
  <c r="Y47" i="14" s="1"/>
  <c r="Z47" i="14" s="1"/>
  <c r="AA47" i="14"/>
  <c r="AB47" i="14" s="1"/>
  <c r="AC47" i="14" s="1"/>
  <c r="AD47" i="14" s="1"/>
  <c r="AE47" i="14" s="1"/>
  <c r="AF47" i="14" s="1"/>
  <c r="AG47" i="14" s="1"/>
  <c r="AH47" i="14" s="1"/>
  <c r="I48" i="14"/>
  <c r="J48" i="14"/>
  <c r="K48" i="14" s="1"/>
  <c r="L48" i="14" s="1"/>
  <c r="M48" i="14"/>
  <c r="N48" i="14" s="1"/>
  <c r="O48" i="14" s="1"/>
  <c r="P48" i="14" s="1"/>
  <c r="Q48" i="14" s="1"/>
  <c r="R48" i="14" s="1"/>
  <c r="S48" i="14" s="1"/>
  <c r="T48" i="14" s="1"/>
  <c r="U48" i="14" s="1"/>
  <c r="V48" i="14" s="1"/>
  <c r="W48" i="14" s="1"/>
  <c r="X48" i="14" s="1"/>
  <c r="Y48" i="14" s="1"/>
  <c r="Z48" i="14" s="1"/>
  <c r="AA48" i="14" s="1"/>
  <c r="AB48" i="14" s="1"/>
  <c r="AC48" i="14"/>
  <c r="AD48" i="14" s="1"/>
  <c r="AE48" i="14" s="1"/>
  <c r="AF48" i="14" s="1"/>
  <c r="AG48" i="14" s="1"/>
  <c r="AH48" i="14" s="1"/>
  <c r="I49" i="14"/>
  <c r="J49" i="14" s="1"/>
  <c r="K49" i="14"/>
  <c r="L49" i="14"/>
  <c r="M49" i="14"/>
  <c r="N49" i="14" s="1"/>
  <c r="O49" i="14" s="1"/>
  <c r="P49" i="14" s="1"/>
  <c r="Q49" i="14" s="1"/>
  <c r="R49" i="14" s="1"/>
  <c r="S49" i="14" s="1"/>
  <c r="T49" i="14" s="1"/>
  <c r="U49" i="14" s="1"/>
  <c r="V49" i="14" s="1"/>
  <c r="W49" i="14" s="1"/>
  <c r="X49" i="14" s="1"/>
  <c r="Y49" i="14" s="1"/>
  <c r="Z49" i="14" s="1"/>
  <c r="AA49" i="14" s="1"/>
  <c r="AB49" i="14"/>
  <c r="AC49" i="14"/>
  <c r="AD49" i="14"/>
  <c r="AE49" i="14" s="1"/>
  <c r="AF49" i="14" s="1"/>
  <c r="AG49" i="14" s="1"/>
  <c r="AH49" i="14" s="1"/>
  <c r="I50" i="14"/>
  <c r="J50" i="14"/>
  <c r="K50" i="14"/>
  <c r="L50" i="14" s="1"/>
  <c r="M50" i="14" s="1"/>
  <c r="N50" i="14" s="1"/>
  <c r="O50" i="14" s="1"/>
  <c r="P50" i="14" s="1"/>
  <c r="Q50" i="14" s="1"/>
  <c r="R50" i="14" s="1"/>
  <c r="S50" i="14" s="1"/>
  <c r="T50" i="14" s="1"/>
  <c r="U50" i="14" s="1"/>
  <c r="V50" i="14" s="1"/>
  <c r="W50" i="14" s="1"/>
  <c r="X50" i="14" s="1"/>
  <c r="Y50" i="14" s="1"/>
  <c r="Z50" i="14" s="1"/>
  <c r="AA50" i="14" s="1"/>
  <c r="AB50" i="14" s="1"/>
  <c r="AC50" i="14" s="1"/>
  <c r="AD50" i="14" s="1"/>
  <c r="AE50" i="14" s="1"/>
  <c r="AF50" i="14" s="1"/>
  <c r="AG50" i="14" s="1"/>
  <c r="AH50" i="14" s="1"/>
  <c r="I51" i="14"/>
  <c r="J51" i="14"/>
  <c r="K51" i="14"/>
  <c r="L51" i="14" s="1"/>
  <c r="M51" i="14" s="1"/>
  <c r="N51" i="14" s="1"/>
  <c r="O51" i="14" s="1"/>
  <c r="P51" i="14" s="1"/>
  <c r="Q51" i="14" s="1"/>
  <c r="R51" i="14" s="1"/>
  <c r="S51" i="14" s="1"/>
  <c r="T51" i="14" s="1"/>
  <c r="U51" i="14" s="1"/>
  <c r="V51" i="14" s="1"/>
  <c r="W51" i="14" s="1"/>
  <c r="X51" i="14" s="1"/>
  <c r="Y51" i="14" s="1"/>
  <c r="Z51" i="14"/>
  <c r="AA51" i="14"/>
  <c r="AB51" i="14"/>
  <c r="AC51" i="14"/>
  <c r="AD51" i="14" s="1"/>
  <c r="AE51" i="14" s="1"/>
  <c r="AF51" i="14" s="1"/>
  <c r="AG51" i="14" s="1"/>
  <c r="AH51" i="14" s="1"/>
  <c r="I52" i="14"/>
  <c r="J52" i="14"/>
  <c r="K52" i="14"/>
  <c r="L52" i="14" s="1"/>
  <c r="M52" i="14"/>
  <c r="N52" i="14"/>
  <c r="O52" i="14" s="1"/>
  <c r="P52" i="14" s="1"/>
  <c r="Q52" i="14" s="1"/>
  <c r="R52" i="14"/>
  <c r="S52" i="14" s="1"/>
  <c r="T52" i="14" s="1"/>
  <c r="U52" i="14"/>
  <c r="V52" i="14" s="1"/>
  <c r="W52" i="14" s="1"/>
  <c r="X52" i="14"/>
  <c r="Y52" i="14" s="1"/>
  <c r="Z52" i="14"/>
  <c r="AA52" i="14" s="1"/>
  <c r="AB52" i="14" s="1"/>
  <c r="AC52" i="14" s="1"/>
  <c r="AD52" i="14" s="1"/>
  <c r="AE52" i="14"/>
  <c r="AF52" i="14" s="1"/>
  <c r="AG52" i="14" s="1"/>
  <c r="AH52" i="14"/>
  <c r="I53" i="14"/>
  <c r="J53" i="14"/>
  <c r="K53" i="14"/>
  <c r="L53" i="14"/>
  <c r="M53" i="14" s="1"/>
  <c r="N53" i="14" s="1"/>
  <c r="O53" i="14" s="1"/>
  <c r="P53" i="14" s="1"/>
  <c r="Q53" i="14" s="1"/>
  <c r="R53" i="14" s="1"/>
  <c r="S53" i="14" s="1"/>
  <c r="T53" i="14" s="1"/>
  <c r="U53" i="14" s="1"/>
  <c r="V53" i="14" s="1"/>
  <c r="W53" i="14" s="1"/>
  <c r="X53" i="14"/>
  <c r="Y53" i="14"/>
  <c r="Z53" i="14" s="1"/>
  <c r="AA53" i="14"/>
  <c r="AB53" i="14"/>
  <c r="AC53" i="14"/>
  <c r="AD53" i="14"/>
  <c r="AE53" i="14"/>
  <c r="AF53" i="14" s="1"/>
  <c r="AG53" i="14" s="1"/>
  <c r="AH53" i="14" s="1"/>
  <c r="I54" i="14"/>
  <c r="J54" i="14"/>
  <c r="K54" i="14"/>
  <c r="L54" i="14" s="1"/>
  <c r="M54" i="14" s="1"/>
  <c r="N54" i="14" s="1"/>
  <c r="O54" i="14" s="1"/>
  <c r="P54" i="14"/>
  <c r="Q54" i="14" s="1"/>
  <c r="R54" i="14" s="1"/>
  <c r="S54" i="14" s="1"/>
  <c r="T54" i="14" s="1"/>
  <c r="U54" i="14" s="1"/>
  <c r="V54" i="14" s="1"/>
  <c r="W54" i="14" s="1"/>
  <c r="X54" i="14" s="1"/>
  <c r="Y54" i="14" s="1"/>
  <c r="Z54" i="14" s="1"/>
  <c r="AA54" i="14" s="1"/>
  <c r="AB54" i="14" s="1"/>
  <c r="AC54" i="14" s="1"/>
  <c r="AD54" i="14" s="1"/>
  <c r="AE54" i="14" s="1"/>
  <c r="AF54" i="14" s="1"/>
  <c r="AG54" i="14" s="1"/>
  <c r="AH54" i="14" s="1"/>
  <c r="I55" i="14"/>
  <c r="J55" i="14" s="1"/>
  <c r="K55" i="14"/>
  <c r="L55" i="14"/>
  <c r="M55" i="14"/>
  <c r="N55" i="14"/>
  <c r="O55" i="14" s="1"/>
  <c r="P55" i="14"/>
  <c r="Q55" i="14" s="1"/>
  <c r="R55" i="14" s="1"/>
  <c r="S55" i="14" s="1"/>
  <c r="T55" i="14" s="1"/>
  <c r="U55" i="14" s="1"/>
  <c r="V55" i="14" s="1"/>
  <c r="W55" i="14" s="1"/>
  <c r="X55" i="14" s="1"/>
  <c r="Y55" i="14" s="1"/>
  <c r="Z55" i="14" s="1"/>
  <c r="AA55" i="14" s="1"/>
  <c r="AB55" i="14" s="1"/>
  <c r="AC55" i="14" s="1"/>
  <c r="AD55" i="14" s="1"/>
  <c r="AE55" i="14" s="1"/>
  <c r="AF55" i="14" s="1"/>
  <c r="AG55" i="14" s="1"/>
  <c r="AH55" i="14" s="1"/>
  <c r="I56" i="14"/>
  <c r="J56" i="14" s="1"/>
  <c r="K56" i="14" s="1"/>
  <c r="L56" i="14"/>
  <c r="M56" i="14" s="1"/>
  <c r="N56" i="14" s="1"/>
  <c r="O56" i="14" s="1"/>
  <c r="P56" i="14"/>
  <c r="Q56" i="14"/>
  <c r="R56" i="14" s="1"/>
  <c r="S56" i="14" s="1"/>
  <c r="T56" i="14" s="1"/>
  <c r="U56" i="14" s="1"/>
  <c r="V56" i="14" s="1"/>
  <c r="W56" i="14" s="1"/>
  <c r="X56" i="14" s="1"/>
  <c r="Y56" i="14" s="1"/>
  <c r="Z56" i="14" s="1"/>
  <c r="AA56" i="14" s="1"/>
  <c r="AB56" i="14" s="1"/>
  <c r="AC56" i="14" s="1"/>
  <c r="AD56" i="14" s="1"/>
  <c r="AE56" i="14" s="1"/>
  <c r="AF56" i="14" s="1"/>
  <c r="AG56" i="14" s="1"/>
  <c r="AH56" i="14" s="1"/>
  <c r="I57" i="14"/>
  <c r="J57" i="14" s="1"/>
  <c r="K57" i="14" s="1"/>
  <c r="L57" i="14"/>
  <c r="M57" i="14"/>
  <c r="N57" i="14" s="1"/>
  <c r="O57" i="14" s="1"/>
  <c r="P57" i="14"/>
  <c r="Q57" i="14"/>
  <c r="R57" i="14" s="1"/>
  <c r="S57" i="14"/>
  <c r="T57" i="14" s="1"/>
  <c r="U57" i="14" s="1"/>
  <c r="V57" i="14" s="1"/>
  <c r="W57" i="14" s="1"/>
  <c r="X57" i="14" s="1"/>
  <c r="Y57" i="14" s="1"/>
  <c r="Z57" i="14" s="1"/>
  <c r="AA57" i="14" s="1"/>
  <c r="AB57" i="14" s="1"/>
  <c r="AC57" i="14" s="1"/>
  <c r="AD57" i="14" s="1"/>
  <c r="AE57" i="14" s="1"/>
  <c r="AF57" i="14" s="1"/>
  <c r="AG57" i="14" s="1"/>
  <c r="AH57" i="14" s="1"/>
  <c r="I58" i="14"/>
  <c r="J58" i="14" s="1"/>
  <c r="K58" i="14" s="1"/>
  <c r="L58" i="14"/>
  <c r="M58" i="14"/>
  <c r="N58" i="14" s="1"/>
  <c r="O58" i="14" s="1"/>
  <c r="P58" i="14" s="1"/>
  <c r="Q58" i="14" s="1"/>
  <c r="R58" i="14" s="1"/>
  <c r="S58" i="14" s="1"/>
  <c r="T58" i="14" s="1"/>
  <c r="U58" i="14" s="1"/>
  <c r="V58" i="14" s="1"/>
  <c r="W58" i="14" s="1"/>
  <c r="X58" i="14" s="1"/>
  <c r="Y58" i="14"/>
  <c r="Z58" i="14"/>
  <c r="AA58" i="14"/>
  <c r="AB58" i="14" s="1"/>
  <c r="AC58" i="14"/>
  <c r="AD58" i="14"/>
  <c r="AE58" i="14" s="1"/>
  <c r="AF58" i="14" s="1"/>
  <c r="AG58" i="14" s="1"/>
  <c r="AH58" i="14" s="1"/>
  <c r="I59" i="14"/>
  <c r="J59" i="14" s="1"/>
  <c r="K59" i="14" s="1"/>
  <c r="L59" i="14"/>
  <c r="M59" i="14" s="1"/>
  <c r="N59" i="14" s="1"/>
  <c r="O59" i="14" s="1"/>
  <c r="P59" i="14" s="1"/>
  <c r="Q59" i="14"/>
  <c r="R59" i="14" s="1"/>
  <c r="S59" i="14" s="1"/>
  <c r="T59" i="14" s="1"/>
  <c r="U59" i="14" s="1"/>
  <c r="V59" i="14"/>
  <c r="W59" i="14" s="1"/>
  <c r="X59" i="14" s="1"/>
  <c r="Y59" i="14"/>
  <c r="Z59" i="14" s="1"/>
  <c r="AA59" i="14"/>
  <c r="AB59" i="14"/>
  <c r="AC59" i="14" s="1"/>
  <c r="AD59" i="14"/>
  <c r="AE59" i="14" s="1"/>
  <c r="AF59" i="14" s="1"/>
  <c r="AG59" i="14" s="1"/>
  <c r="AH59" i="14" s="1"/>
  <c r="I60" i="14"/>
  <c r="J60" i="14" s="1"/>
  <c r="K60" i="14" s="1"/>
  <c r="L60" i="14" s="1"/>
  <c r="M60" i="14"/>
  <c r="N60" i="14" s="1"/>
  <c r="O60" i="14" s="1"/>
  <c r="P60" i="14" s="1"/>
  <c r="Q60" i="14" s="1"/>
  <c r="R60" i="14" s="1"/>
  <c r="S60" i="14" s="1"/>
  <c r="T60" i="14" s="1"/>
  <c r="U60" i="14" s="1"/>
  <c r="V60" i="14" s="1"/>
  <c r="W60" i="14" s="1"/>
  <c r="X60" i="14" s="1"/>
  <c r="Y60" i="14" s="1"/>
  <c r="Z60" i="14" s="1"/>
  <c r="AA60" i="14" s="1"/>
  <c r="AB60" i="14" s="1"/>
  <c r="AC60" i="14" s="1"/>
  <c r="AD60" i="14" s="1"/>
  <c r="AE60" i="14" s="1"/>
  <c r="AF60" i="14" s="1"/>
  <c r="AG60" i="14" s="1"/>
  <c r="AH60" i="14" s="1"/>
  <c r="I61" i="14"/>
  <c r="J61" i="14" s="1"/>
  <c r="K61" i="14" s="1"/>
  <c r="L61" i="14" s="1"/>
  <c r="M61" i="14" s="1"/>
  <c r="N61" i="14" s="1"/>
  <c r="O61" i="14"/>
  <c r="P61" i="14" s="1"/>
  <c r="Q61" i="14" s="1"/>
  <c r="R61" i="14" s="1"/>
  <c r="S61" i="14" s="1"/>
  <c r="T61" i="14" s="1"/>
  <c r="U61" i="14" s="1"/>
  <c r="V61" i="14" s="1"/>
  <c r="W61" i="14" s="1"/>
  <c r="X61" i="14" s="1"/>
  <c r="Y61" i="14"/>
  <c r="Z61" i="14"/>
  <c r="AA61" i="14"/>
  <c r="AB61" i="14" s="1"/>
  <c r="AC61" i="14" s="1"/>
  <c r="AD61" i="14" s="1"/>
  <c r="AE61" i="14" s="1"/>
  <c r="AF61" i="14" s="1"/>
  <c r="AG61" i="14" s="1"/>
  <c r="AH61" i="14" s="1"/>
  <c r="I62" i="14"/>
  <c r="J62" i="14"/>
  <c r="K62" i="14" s="1"/>
  <c r="L62" i="14"/>
  <c r="M62" i="14"/>
  <c r="N62" i="14" s="1"/>
  <c r="O62" i="14" s="1"/>
  <c r="P62" i="14"/>
  <c r="Q62" i="14"/>
  <c r="R62" i="14"/>
  <c r="S62" i="14" s="1"/>
  <c r="T62" i="14" s="1"/>
  <c r="U62" i="14" s="1"/>
  <c r="V62" i="14" s="1"/>
  <c r="W62" i="14"/>
  <c r="X62" i="14" s="1"/>
  <c r="Y62" i="14" s="1"/>
  <c r="Z62" i="14" s="1"/>
  <c r="AA62" i="14" s="1"/>
  <c r="AB62" i="14"/>
  <c r="AC62" i="14" s="1"/>
  <c r="AD62" i="14" s="1"/>
  <c r="AE62" i="14" s="1"/>
  <c r="AF62" i="14" s="1"/>
  <c r="AG62" i="14" s="1"/>
  <c r="AH62" i="14" s="1"/>
  <c r="I63" i="14"/>
  <c r="J63" i="14"/>
  <c r="K63" i="14" s="1"/>
  <c r="L63" i="14" s="1"/>
  <c r="M63" i="14"/>
  <c r="N63" i="14" s="1"/>
  <c r="O63" i="14" s="1"/>
  <c r="P63" i="14" s="1"/>
  <c r="Q63" i="14"/>
  <c r="R63" i="14" s="1"/>
  <c r="S63" i="14"/>
  <c r="T63" i="14"/>
  <c r="U63" i="14" s="1"/>
  <c r="V63" i="14" s="1"/>
  <c r="W63" i="14"/>
  <c r="X63" i="14" s="1"/>
  <c r="Y63" i="14"/>
  <c r="Z63" i="14"/>
  <c r="AA63" i="14"/>
  <c r="AB63" i="14" s="1"/>
  <c r="AC63" i="14" s="1"/>
  <c r="AD63" i="14" s="1"/>
  <c r="AE63" i="14" s="1"/>
  <c r="AF63" i="14" s="1"/>
  <c r="AG63" i="14" s="1"/>
  <c r="AH63" i="14" s="1"/>
  <c r="I64" i="14"/>
  <c r="J64" i="14"/>
  <c r="K64" i="14" s="1"/>
  <c r="L64" i="14" s="1"/>
  <c r="M64" i="14" s="1"/>
  <c r="N64" i="14"/>
  <c r="O64" i="14" s="1"/>
  <c r="P64" i="14" s="1"/>
  <c r="Q64" i="14" s="1"/>
  <c r="R64" i="14" s="1"/>
  <c r="S64" i="14" s="1"/>
  <c r="T64" i="14" s="1"/>
  <c r="U64" i="14" s="1"/>
  <c r="V64" i="14" s="1"/>
  <c r="W64" i="14" s="1"/>
  <c r="X64" i="14" s="1"/>
  <c r="Y64" i="14" s="1"/>
  <c r="Z64" i="14" s="1"/>
  <c r="AA64" i="14" s="1"/>
  <c r="AB64" i="14" s="1"/>
  <c r="AC64" i="14" s="1"/>
  <c r="AD64" i="14" s="1"/>
  <c r="AE64" i="14" s="1"/>
  <c r="AF64" i="14" s="1"/>
  <c r="AG64" i="14" s="1"/>
  <c r="AH64" i="14" s="1"/>
  <c r="I65" i="14"/>
  <c r="J65" i="14"/>
  <c r="K65" i="14"/>
  <c r="L65" i="14"/>
  <c r="M65" i="14"/>
  <c r="N65" i="14" s="1"/>
  <c r="O65" i="14" s="1"/>
  <c r="P65" i="14" s="1"/>
  <c r="Q65" i="14" s="1"/>
  <c r="R65" i="14" s="1"/>
  <c r="S65" i="14" s="1"/>
  <c r="T65" i="14" s="1"/>
  <c r="U65" i="14" s="1"/>
  <c r="V65" i="14" s="1"/>
  <c r="W65" i="14" s="1"/>
  <c r="X65" i="14" s="1"/>
  <c r="Y65" i="14" s="1"/>
  <c r="Z65" i="14" s="1"/>
  <c r="AA65" i="14" s="1"/>
  <c r="AB65" i="14" s="1"/>
  <c r="AC65" i="14" s="1"/>
  <c r="AD65" i="14" s="1"/>
  <c r="AE65" i="14" s="1"/>
  <c r="AF65" i="14" s="1"/>
  <c r="AG65" i="14" s="1"/>
  <c r="AH65" i="14" s="1"/>
  <c r="I66" i="14"/>
  <c r="J66" i="14"/>
  <c r="K66" i="14" s="1"/>
  <c r="L66" i="14" s="1"/>
  <c r="M66" i="14" s="1"/>
  <c r="N66" i="14" s="1"/>
  <c r="O66" i="14" s="1"/>
  <c r="P66" i="14" s="1"/>
  <c r="Q66" i="14" s="1"/>
  <c r="R66" i="14" s="1"/>
  <c r="S66" i="14" s="1"/>
  <c r="T66" i="14" s="1"/>
  <c r="U66" i="14" s="1"/>
  <c r="V66" i="14" s="1"/>
  <c r="W66" i="14" s="1"/>
  <c r="X66" i="14" s="1"/>
  <c r="Y66" i="14" s="1"/>
  <c r="Z66" i="14" s="1"/>
  <c r="AA66" i="14" s="1"/>
  <c r="AB66" i="14" s="1"/>
  <c r="AC66" i="14" s="1"/>
  <c r="AD66" i="14" s="1"/>
  <c r="AE66" i="14" s="1"/>
  <c r="AF66" i="14" s="1"/>
  <c r="AG66" i="14" s="1"/>
  <c r="AH66" i="14" s="1"/>
  <c r="I67" i="14"/>
  <c r="J67" i="14"/>
  <c r="K67" i="14"/>
  <c r="L67" i="14"/>
  <c r="M67" i="14" s="1"/>
  <c r="N67" i="14" s="1"/>
  <c r="O67" i="14" s="1"/>
  <c r="P67" i="14" s="1"/>
  <c r="Q67" i="14" s="1"/>
  <c r="R67" i="14"/>
  <c r="S67" i="14" s="1"/>
  <c r="T67" i="14" s="1"/>
  <c r="U67" i="14" s="1"/>
  <c r="V67" i="14" s="1"/>
  <c r="W67" i="14" s="1"/>
  <c r="X67" i="14" s="1"/>
  <c r="Y67" i="14"/>
  <c r="Z67" i="14" s="1"/>
  <c r="AA67" i="14" s="1"/>
  <c r="AB67" i="14" s="1"/>
  <c r="AC67" i="14" s="1"/>
  <c r="AD67" i="14" s="1"/>
  <c r="AE67" i="14" s="1"/>
  <c r="AF67" i="14" s="1"/>
  <c r="AG67" i="14" s="1"/>
  <c r="AH67" i="14" s="1"/>
  <c r="I68" i="14"/>
  <c r="J68" i="14"/>
  <c r="K68" i="14"/>
  <c r="L68" i="14" s="1"/>
  <c r="M68" i="14" s="1"/>
  <c r="N68" i="14"/>
  <c r="O68" i="14"/>
  <c r="P68" i="14"/>
  <c r="Q68" i="14" s="1"/>
  <c r="R68" i="14" s="1"/>
  <c r="S68" i="14" s="1"/>
  <c r="T68" i="14" s="1"/>
  <c r="U68" i="14" s="1"/>
  <c r="V68" i="14" s="1"/>
  <c r="W68" i="14" s="1"/>
  <c r="X68" i="14" s="1"/>
  <c r="Y68" i="14" s="1"/>
  <c r="Z68" i="14" s="1"/>
  <c r="AA68" i="14" s="1"/>
  <c r="AB68" i="14" s="1"/>
  <c r="AC68" i="14" s="1"/>
  <c r="AD68" i="14" s="1"/>
  <c r="AE68" i="14" s="1"/>
  <c r="AF68" i="14" s="1"/>
  <c r="AG68" i="14" s="1"/>
  <c r="AH68" i="14" s="1"/>
  <c r="I69" i="14"/>
  <c r="J69" i="14" s="1"/>
  <c r="K69" i="14" s="1"/>
  <c r="L69" i="14"/>
  <c r="M69" i="14" s="1"/>
  <c r="N69" i="14" s="1"/>
  <c r="O69" i="14" s="1"/>
  <c r="P69" i="14"/>
  <c r="Q69" i="14"/>
  <c r="R69" i="14" s="1"/>
  <c r="S69" i="14" s="1"/>
  <c r="T69" i="14" s="1"/>
  <c r="U69" i="14" s="1"/>
  <c r="V69" i="14" s="1"/>
  <c r="W69" i="14" s="1"/>
  <c r="X69" i="14" s="1"/>
  <c r="Y69" i="14" s="1"/>
  <c r="Z69" i="14" s="1"/>
  <c r="AA69" i="14" s="1"/>
  <c r="AB69" i="14" s="1"/>
  <c r="AC69" i="14" s="1"/>
  <c r="AD69" i="14" s="1"/>
  <c r="AE69" i="14" s="1"/>
  <c r="AF69" i="14" s="1"/>
  <c r="AG69" i="14" s="1"/>
  <c r="AH69" i="14" s="1"/>
  <c r="I70" i="14"/>
  <c r="J70" i="14"/>
  <c r="K70" i="14"/>
  <c r="L70" i="14" s="1"/>
  <c r="M70" i="14"/>
  <c r="N70" i="14" s="1"/>
  <c r="O70" i="14" s="1"/>
  <c r="P70" i="14" s="1"/>
  <c r="Q70" i="14" s="1"/>
  <c r="R70" i="14" s="1"/>
  <c r="S70" i="14"/>
  <c r="T70" i="14" s="1"/>
  <c r="U70" i="14" s="1"/>
  <c r="V70" i="14" s="1"/>
  <c r="W70" i="14" s="1"/>
  <c r="X70" i="14"/>
  <c r="Y70" i="14" s="1"/>
  <c r="Z70" i="14" s="1"/>
  <c r="AA70" i="14" s="1"/>
  <c r="AB70" i="14" s="1"/>
  <c r="AC70" i="14" s="1"/>
  <c r="AD70" i="14" s="1"/>
  <c r="AE70" i="14" s="1"/>
  <c r="AF70" i="14" s="1"/>
  <c r="AG70" i="14" s="1"/>
  <c r="AH70" i="14" s="1"/>
  <c r="I71" i="14"/>
  <c r="J71" i="14"/>
  <c r="K71" i="14" s="1"/>
  <c r="L71" i="14" s="1"/>
  <c r="M71" i="14"/>
  <c r="N71" i="14" s="1"/>
  <c r="O71" i="14" s="1"/>
  <c r="P71" i="14" s="1"/>
  <c r="Q71" i="14" s="1"/>
  <c r="R71" i="14" s="1"/>
  <c r="S71" i="14" s="1"/>
  <c r="T71" i="14" s="1"/>
  <c r="U71" i="14" s="1"/>
  <c r="V71" i="14"/>
  <c r="W71" i="14"/>
  <c r="X71" i="14"/>
  <c r="Y71" i="14"/>
  <c r="Z71" i="14"/>
  <c r="AA71" i="14" s="1"/>
  <c r="AB71" i="14" s="1"/>
  <c r="AC71" i="14" s="1"/>
  <c r="AD71" i="14" s="1"/>
  <c r="AE71" i="14" s="1"/>
  <c r="AF71" i="14" s="1"/>
  <c r="AG71" i="14" s="1"/>
  <c r="AH71" i="14" s="1"/>
  <c r="I72" i="14"/>
  <c r="J72" i="14"/>
  <c r="K72" i="14"/>
  <c r="L72" i="14" s="1"/>
  <c r="M72" i="14" s="1"/>
  <c r="N72" i="14"/>
  <c r="O72" i="14"/>
  <c r="P72" i="14" s="1"/>
  <c r="Q72" i="14" s="1"/>
  <c r="R72" i="14" s="1"/>
  <c r="S72" i="14"/>
  <c r="T72" i="14" s="1"/>
  <c r="U72" i="14" s="1"/>
  <c r="V72" i="14" s="1"/>
  <c r="W72" i="14"/>
  <c r="X72" i="14"/>
  <c r="Y72" i="14"/>
  <c r="Z72" i="14"/>
  <c r="AA72" i="14" s="1"/>
  <c r="AB72" i="14" s="1"/>
  <c r="AC72" i="14" s="1"/>
  <c r="AD72" i="14" s="1"/>
  <c r="AE72" i="14" s="1"/>
  <c r="AF72" i="14" s="1"/>
  <c r="AG72" i="14" s="1"/>
  <c r="AH72" i="14" s="1"/>
  <c r="I73" i="14"/>
  <c r="J73" i="14"/>
  <c r="K73" i="14"/>
  <c r="L73" i="14"/>
  <c r="M73" i="14"/>
  <c r="N73" i="14" s="1"/>
  <c r="O73" i="14" s="1"/>
  <c r="P73" i="14"/>
  <c r="Q73" i="14"/>
  <c r="R73" i="14"/>
  <c r="S73" i="14" s="1"/>
  <c r="T73" i="14" s="1"/>
  <c r="U73" i="14" s="1"/>
  <c r="V73" i="14" s="1"/>
  <c r="W73" i="14" s="1"/>
  <c r="X73" i="14" s="1"/>
  <c r="Y73" i="14"/>
  <c r="Z73" i="14" s="1"/>
  <c r="AA73" i="14" s="1"/>
  <c r="AB73" i="14" s="1"/>
  <c r="AC73" i="14" s="1"/>
  <c r="AD73" i="14"/>
  <c r="AE73" i="14"/>
  <c r="AF73" i="14" s="1"/>
  <c r="AG73" i="14" s="1"/>
  <c r="AH73" i="14" s="1"/>
  <c r="I74" i="14"/>
  <c r="J74" i="14" s="1"/>
  <c r="K74" i="14" s="1"/>
  <c r="L74" i="14" s="1"/>
  <c r="M74" i="14" s="1"/>
  <c r="N74" i="14" s="1"/>
  <c r="O74" i="14" s="1"/>
  <c r="P74" i="14" s="1"/>
  <c r="Q74" i="14" s="1"/>
  <c r="R74" i="14" s="1"/>
  <c r="S74" i="14" s="1"/>
  <c r="T74" i="14" s="1"/>
  <c r="U74" i="14" s="1"/>
  <c r="V74" i="14" s="1"/>
  <c r="W74" i="14" s="1"/>
  <c r="X74" i="14" s="1"/>
  <c r="Y74" i="14" s="1"/>
  <c r="Z74" i="14" s="1"/>
  <c r="AA74" i="14" s="1"/>
  <c r="AB74" i="14" s="1"/>
  <c r="AC74" i="14" s="1"/>
  <c r="AD74" i="14" s="1"/>
  <c r="AE74" i="14" s="1"/>
  <c r="AF74" i="14" s="1"/>
  <c r="AG74" i="14" s="1"/>
  <c r="AH74" i="14" s="1"/>
  <c r="I75" i="14"/>
  <c r="J75" i="14" s="1"/>
  <c r="K75" i="14" s="1"/>
  <c r="L75" i="14"/>
  <c r="M75" i="14" s="1"/>
  <c r="N75" i="14" s="1"/>
  <c r="O75" i="14" s="1"/>
  <c r="P75" i="14"/>
  <c r="Q75" i="14" s="1"/>
  <c r="R75" i="14" s="1"/>
  <c r="S75" i="14"/>
  <c r="T75" i="14"/>
  <c r="U75" i="14"/>
  <c r="V75" i="14"/>
  <c r="W75" i="14" s="1"/>
  <c r="X75" i="14" s="1"/>
  <c r="Y75" i="14"/>
  <c r="Z75" i="14" s="1"/>
  <c r="AA75" i="14" s="1"/>
  <c r="AB75" i="14" s="1"/>
  <c r="AC75" i="14"/>
  <c r="AD75" i="14"/>
  <c r="AE75" i="14" s="1"/>
  <c r="AF75" i="14" s="1"/>
  <c r="AG75" i="14"/>
  <c r="AH75" i="14" s="1"/>
  <c r="I76" i="14"/>
  <c r="J76" i="14"/>
  <c r="K76" i="14"/>
  <c r="L76" i="14" s="1"/>
  <c r="M76" i="14" s="1"/>
  <c r="N76" i="14" s="1"/>
  <c r="O76" i="14" s="1"/>
  <c r="P76" i="14" s="1"/>
  <c r="Q76" i="14" s="1"/>
  <c r="R76" i="14" s="1"/>
  <c r="S76" i="14" s="1"/>
  <c r="T76" i="14" s="1"/>
  <c r="U76" i="14" s="1"/>
  <c r="V76" i="14" s="1"/>
  <c r="W76" i="14" s="1"/>
  <c r="X76" i="14" s="1"/>
  <c r="Y76" i="14" s="1"/>
  <c r="Z76" i="14" s="1"/>
  <c r="AA76" i="14" s="1"/>
  <c r="AB76" i="14" s="1"/>
  <c r="AC76" i="14" s="1"/>
  <c r="AD76" i="14" s="1"/>
  <c r="AE76" i="14" s="1"/>
  <c r="AF76" i="14" s="1"/>
  <c r="AG76" i="14" s="1"/>
  <c r="AH76" i="14" s="1"/>
  <c r="I77" i="14"/>
  <c r="J77" i="14" s="1"/>
  <c r="K77" i="14"/>
  <c r="L77" i="14" s="1"/>
  <c r="M77" i="14" s="1"/>
  <c r="N77" i="14" s="1"/>
  <c r="O77" i="14" s="1"/>
  <c r="P77" i="14" s="1"/>
  <c r="Q77" i="14" s="1"/>
  <c r="R77" i="14" s="1"/>
  <c r="S77" i="14" s="1"/>
  <c r="T77" i="14" s="1"/>
  <c r="U77" i="14" s="1"/>
  <c r="V77" i="14" s="1"/>
  <c r="W77" i="14" s="1"/>
  <c r="X77" i="14" s="1"/>
  <c r="Y77" i="14" s="1"/>
  <c r="Z77" i="14" s="1"/>
  <c r="AA77" i="14" s="1"/>
  <c r="AB77" i="14" s="1"/>
  <c r="AC77" i="14" s="1"/>
  <c r="AD77" i="14" s="1"/>
  <c r="AE77" i="14" s="1"/>
  <c r="AF77" i="14" s="1"/>
  <c r="AG77" i="14" s="1"/>
  <c r="AH77" i="14" s="1"/>
  <c r="I78" i="14"/>
  <c r="J78" i="14" s="1"/>
  <c r="K78" i="14"/>
  <c r="L78" i="14" s="1"/>
  <c r="M78" i="14" s="1"/>
  <c r="N78" i="14" s="1"/>
  <c r="O78" i="14" s="1"/>
  <c r="P78" i="14" s="1"/>
  <c r="Q78" i="14" s="1"/>
  <c r="R78" i="14"/>
  <c r="S78" i="14" s="1"/>
  <c r="T78" i="14" s="1"/>
  <c r="U78" i="14" s="1"/>
  <c r="V78" i="14" s="1"/>
  <c r="W78" i="14" s="1"/>
  <c r="X78" i="14" s="1"/>
  <c r="Y78" i="14" s="1"/>
  <c r="Z78" i="14" s="1"/>
  <c r="AA78" i="14" s="1"/>
  <c r="AB78" i="14" s="1"/>
  <c r="AC78" i="14" s="1"/>
  <c r="AD78" i="14" s="1"/>
  <c r="AE78" i="14" s="1"/>
  <c r="AF78" i="14" s="1"/>
  <c r="AG78" i="14" s="1"/>
  <c r="AH78" i="14" s="1"/>
  <c r="I79" i="14"/>
  <c r="J79" i="14" s="1"/>
  <c r="K79" i="14"/>
  <c r="L79" i="14" s="1"/>
  <c r="M79" i="14" s="1"/>
  <c r="N79" i="14" s="1"/>
  <c r="O79" i="14" s="1"/>
  <c r="P79" i="14" s="1"/>
  <c r="Q79" i="14" s="1"/>
  <c r="R79" i="14" s="1"/>
  <c r="S79" i="14" s="1"/>
  <c r="T79" i="14" s="1"/>
  <c r="U79" i="14" s="1"/>
  <c r="V79" i="14" s="1"/>
  <c r="W79" i="14" s="1"/>
  <c r="X79" i="14" s="1"/>
  <c r="Y79" i="14" s="1"/>
  <c r="Z79" i="14" s="1"/>
  <c r="AA79" i="14" s="1"/>
  <c r="AB79" i="14" s="1"/>
  <c r="AC79" i="14" s="1"/>
  <c r="AD79" i="14" s="1"/>
  <c r="AE79" i="14" s="1"/>
  <c r="AF79" i="14" s="1"/>
  <c r="AG79" i="14" s="1"/>
  <c r="AH79" i="14" s="1"/>
  <c r="I80" i="14"/>
  <c r="J80" i="14" s="1"/>
  <c r="K80" i="14"/>
  <c r="L80" i="14" s="1"/>
  <c r="M80" i="14" s="1"/>
  <c r="N80" i="14" s="1"/>
  <c r="O80" i="14" s="1"/>
  <c r="P80" i="14" s="1"/>
  <c r="Q80" i="14" s="1"/>
  <c r="R80" i="14" s="1"/>
  <c r="S80" i="14" s="1"/>
  <c r="T80" i="14" s="1"/>
  <c r="U80" i="14" s="1"/>
  <c r="V80" i="14" s="1"/>
  <c r="W80" i="14" s="1"/>
  <c r="X80" i="14" s="1"/>
  <c r="Y80" i="14" s="1"/>
  <c r="Z80" i="14" s="1"/>
  <c r="AA80" i="14" s="1"/>
  <c r="AB80" i="14" s="1"/>
  <c r="AC80" i="14" s="1"/>
  <c r="AD80" i="14" s="1"/>
  <c r="AE80" i="14" s="1"/>
  <c r="AF80" i="14" s="1"/>
  <c r="AG80" i="14" s="1"/>
  <c r="AH80" i="14" s="1"/>
  <c r="I81" i="14"/>
  <c r="J81" i="14" s="1"/>
  <c r="K81" i="14" s="1"/>
  <c r="L81" i="14" s="1"/>
  <c r="M81" i="14" s="1"/>
  <c r="N81" i="14" s="1"/>
  <c r="O81" i="14" s="1"/>
  <c r="P81" i="14"/>
  <c r="Q81" i="14"/>
  <c r="R81" i="14" s="1"/>
  <c r="S81" i="14" s="1"/>
  <c r="T81" i="14" s="1"/>
  <c r="U81" i="14" s="1"/>
  <c r="V81" i="14" s="1"/>
  <c r="W81" i="14" s="1"/>
  <c r="X81" i="14" s="1"/>
  <c r="Y81" i="14" s="1"/>
  <c r="Z81" i="14" s="1"/>
  <c r="AA81" i="14" s="1"/>
  <c r="AB81" i="14" s="1"/>
  <c r="AC81" i="14" s="1"/>
  <c r="AD81" i="14" s="1"/>
  <c r="AE81" i="14" s="1"/>
  <c r="AF81" i="14" s="1"/>
  <c r="AG81" i="14" s="1"/>
  <c r="AH81" i="14" s="1"/>
  <c r="I82" i="14"/>
  <c r="J82" i="14"/>
  <c r="K82" i="14"/>
  <c r="L82" i="14" s="1"/>
  <c r="M82" i="14" s="1"/>
  <c r="N82" i="14" s="1"/>
  <c r="O82" i="14" s="1"/>
  <c r="P82" i="14" s="1"/>
  <c r="Q82" i="14" s="1"/>
  <c r="R82" i="14" s="1"/>
  <c r="S82" i="14" s="1"/>
  <c r="T82" i="14" s="1"/>
  <c r="U82" i="14" s="1"/>
  <c r="V82" i="14" s="1"/>
  <c r="W82" i="14" s="1"/>
  <c r="X82" i="14" s="1"/>
  <c r="Y82" i="14" s="1"/>
  <c r="Z82" i="14" s="1"/>
  <c r="AA82" i="14" s="1"/>
  <c r="AB82" i="14" s="1"/>
  <c r="AC82" i="14" s="1"/>
  <c r="AD82" i="14" s="1"/>
  <c r="AE82" i="14" s="1"/>
  <c r="AF82" i="14" s="1"/>
  <c r="AG82" i="14" s="1"/>
  <c r="AH82" i="14" s="1"/>
  <c r="I83" i="14"/>
  <c r="J83" i="14" s="1"/>
  <c r="K83" i="14"/>
  <c r="L83" i="14" s="1"/>
  <c r="M83" i="14" s="1"/>
  <c r="N83" i="14"/>
  <c r="O83" i="14"/>
  <c r="P83" i="14"/>
  <c r="Q83" i="14" s="1"/>
  <c r="R83" i="14" s="1"/>
  <c r="S83" i="14" s="1"/>
  <c r="T83" i="14" s="1"/>
  <c r="U83" i="14" s="1"/>
  <c r="V83" i="14" s="1"/>
  <c r="W83" i="14" s="1"/>
  <c r="X83" i="14" s="1"/>
  <c r="Y83" i="14" s="1"/>
  <c r="Z83" i="14" s="1"/>
  <c r="AA83" i="14" s="1"/>
  <c r="AB83" i="14" s="1"/>
  <c r="AC83" i="14" s="1"/>
  <c r="AD83" i="14" s="1"/>
  <c r="AE83" i="14" s="1"/>
  <c r="AF83" i="14" s="1"/>
  <c r="AG83" i="14" s="1"/>
  <c r="AH83" i="14" s="1"/>
  <c r="I84" i="14"/>
  <c r="J84" i="14" s="1"/>
  <c r="K84" i="14"/>
  <c r="L84" i="14" s="1"/>
  <c r="M84" i="14" s="1"/>
  <c r="N84" i="14"/>
  <c r="O84" i="14" s="1"/>
  <c r="P84" i="14" s="1"/>
  <c r="Q84" i="14" s="1"/>
  <c r="R84" i="14" s="1"/>
  <c r="S84" i="14" s="1"/>
  <c r="T84" i="14" s="1"/>
  <c r="U84" i="14" s="1"/>
  <c r="V84" i="14" s="1"/>
  <c r="W84" i="14" s="1"/>
  <c r="X84" i="14" s="1"/>
  <c r="Y84" i="14" s="1"/>
  <c r="Z84" i="14" s="1"/>
  <c r="AA84" i="14" s="1"/>
  <c r="AB84" i="14" s="1"/>
  <c r="AC84" i="14" s="1"/>
  <c r="AD84" i="14" s="1"/>
  <c r="AE84" i="14" s="1"/>
  <c r="AF84" i="14" s="1"/>
  <c r="AG84" i="14" s="1"/>
  <c r="AH84" i="14" s="1"/>
  <c r="I85" i="14"/>
  <c r="J85" i="14" s="1"/>
  <c r="K85" i="14"/>
  <c r="L85" i="14" s="1"/>
  <c r="M85" i="14"/>
  <c r="N85" i="14" s="1"/>
  <c r="O85" i="14" s="1"/>
  <c r="P85" i="14" s="1"/>
  <c r="Q85" i="14" s="1"/>
  <c r="R85" i="14" s="1"/>
  <c r="S85" i="14" s="1"/>
  <c r="T85" i="14" s="1"/>
  <c r="U85" i="14" s="1"/>
  <c r="V85" i="14" s="1"/>
  <c r="W85" i="14" s="1"/>
  <c r="X85" i="14" s="1"/>
  <c r="Y85" i="14" s="1"/>
  <c r="Z85" i="14" s="1"/>
  <c r="AA85" i="14" s="1"/>
  <c r="AB85" i="14" s="1"/>
  <c r="AC85" i="14" s="1"/>
  <c r="AD85" i="14" s="1"/>
  <c r="AE85" i="14" s="1"/>
  <c r="AF85" i="14" s="1"/>
  <c r="AG85" i="14" s="1"/>
  <c r="AH85" i="14" s="1"/>
  <c r="I86" i="14"/>
  <c r="J86" i="14"/>
  <c r="K86" i="14" s="1"/>
  <c r="L86" i="14"/>
  <c r="M86" i="14" s="1"/>
  <c r="N86" i="14" s="1"/>
  <c r="O86" i="14"/>
  <c r="P86" i="14"/>
  <c r="Q86" i="14"/>
  <c r="R86" i="14"/>
  <c r="S86" i="14" s="1"/>
  <c r="T86" i="14" s="1"/>
  <c r="U86" i="14" s="1"/>
  <c r="V86" i="14" s="1"/>
  <c r="W86" i="14" s="1"/>
  <c r="X86" i="14" s="1"/>
  <c r="Y86" i="14" s="1"/>
  <c r="Z86" i="14" s="1"/>
  <c r="AA86" i="14" s="1"/>
  <c r="AB86" i="14" s="1"/>
  <c r="AC86" i="14" s="1"/>
  <c r="AD86" i="14" s="1"/>
  <c r="AE86" i="14" s="1"/>
  <c r="AF86" i="14" s="1"/>
  <c r="AG86" i="14" s="1"/>
  <c r="AH86" i="14" s="1"/>
  <c r="I87" i="14"/>
  <c r="J87" i="14"/>
  <c r="K87" i="14" s="1"/>
  <c r="L87" i="14" s="1"/>
  <c r="M87" i="14"/>
  <c r="N87" i="14" s="1"/>
  <c r="O87" i="14" s="1"/>
  <c r="P87" i="14" s="1"/>
  <c r="Q87" i="14" s="1"/>
  <c r="R87" i="14" s="1"/>
  <c r="S87" i="14" s="1"/>
  <c r="T87" i="14" s="1"/>
  <c r="U87" i="14" s="1"/>
  <c r="V87" i="14" s="1"/>
  <c r="W87" i="14" s="1"/>
  <c r="X87" i="14" s="1"/>
  <c r="Y87" i="14" s="1"/>
  <c r="Z87" i="14" s="1"/>
  <c r="AA87" i="14" s="1"/>
  <c r="AB87" i="14" s="1"/>
  <c r="AC87" i="14" s="1"/>
  <c r="AD87" i="14" s="1"/>
  <c r="AE87" i="14" s="1"/>
  <c r="AF87" i="14" s="1"/>
  <c r="AG87" i="14" s="1"/>
  <c r="AH87" i="14" s="1"/>
  <c r="I88" i="14"/>
  <c r="J88" i="14" s="1"/>
  <c r="K88" i="14" s="1"/>
  <c r="L88" i="14" s="1"/>
  <c r="M88" i="14" s="1"/>
  <c r="N88" i="14" s="1"/>
  <c r="O88" i="14" s="1"/>
  <c r="P88" i="14" s="1"/>
  <c r="Q88" i="14" s="1"/>
  <c r="R88" i="14" s="1"/>
  <c r="S88" i="14" s="1"/>
  <c r="T88" i="14" s="1"/>
  <c r="U88" i="14" s="1"/>
  <c r="V88" i="14" s="1"/>
  <c r="W88" i="14" s="1"/>
  <c r="X88" i="14" s="1"/>
  <c r="Y88" i="14" s="1"/>
  <c r="Z88" i="14" s="1"/>
  <c r="AA88" i="14" s="1"/>
  <c r="AB88" i="14" s="1"/>
  <c r="AC88" i="14" s="1"/>
  <c r="AD88" i="14" s="1"/>
  <c r="AE88" i="14" s="1"/>
  <c r="AF88" i="14" s="1"/>
  <c r="AG88" i="14" s="1"/>
  <c r="AH88" i="14" s="1"/>
  <c r="I89" i="14"/>
  <c r="J89" i="14" s="1"/>
  <c r="K89" i="14" s="1"/>
  <c r="L89" i="14" s="1"/>
  <c r="M89" i="14" s="1"/>
  <c r="N89" i="14" s="1"/>
  <c r="O89" i="14" s="1"/>
  <c r="P89" i="14" s="1"/>
  <c r="Q89" i="14" s="1"/>
  <c r="R89" i="14" s="1"/>
  <c r="S89" i="14" s="1"/>
  <c r="T89" i="14" s="1"/>
  <c r="U89" i="14" s="1"/>
  <c r="V89" i="14" s="1"/>
  <c r="W89" i="14" s="1"/>
  <c r="X89" i="14" s="1"/>
  <c r="Y89" i="14" s="1"/>
  <c r="Z89" i="14" s="1"/>
  <c r="AA89" i="14" s="1"/>
  <c r="AB89" i="14" s="1"/>
  <c r="AC89" i="14" s="1"/>
  <c r="AD89" i="14" s="1"/>
  <c r="AE89" i="14" s="1"/>
  <c r="AF89" i="14" s="1"/>
  <c r="AG89" i="14" s="1"/>
  <c r="AH89" i="14" s="1"/>
  <c r="I90" i="14"/>
  <c r="J90" i="14"/>
  <c r="K90" i="14"/>
  <c r="L90" i="14"/>
  <c r="M90" i="14" s="1"/>
  <c r="N90" i="14"/>
  <c r="O90" i="14" s="1"/>
  <c r="P90" i="14" s="1"/>
  <c r="Q90" i="14"/>
  <c r="R90" i="14" s="1"/>
  <c r="S90" i="14" s="1"/>
  <c r="T90" i="14" s="1"/>
  <c r="U90" i="14" s="1"/>
  <c r="V90" i="14" s="1"/>
  <c r="W90" i="14" s="1"/>
  <c r="X90" i="14" s="1"/>
  <c r="Y90" i="14" s="1"/>
  <c r="Z90" i="14" s="1"/>
  <c r="AA90" i="14" s="1"/>
  <c r="AB90" i="14" s="1"/>
  <c r="AC90" i="14" s="1"/>
  <c r="AD90" i="14" s="1"/>
  <c r="AE90" i="14" s="1"/>
  <c r="AF90" i="14" s="1"/>
  <c r="AG90" i="14" s="1"/>
  <c r="AH90" i="14" s="1"/>
  <c r="I91" i="14"/>
  <c r="J91" i="14"/>
  <c r="K91" i="14" s="1"/>
  <c r="L91" i="14" s="1"/>
  <c r="M91" i="14" s="1"/>
  <c r="N91" i="14" s="1"/>
  <c r="O91" i="14" s="1"/>
  <c r="P91" i="14" s="1"/>
  <c r="Q91" i="14" s="1"/>
  <c r="R91" i="14" s="1"/>
  <c r="S91" i="14" s="1"/>
  <c r="T91" i="14" s="1"/>
  <c r="U91" i="14" s="1"/>
  <c r="V91" i="14" s="1"/>
  <c r="W91" i="14" s="1"/>
  <c r="X91" i="14" s="1"/>
  <c r="Y91" i="14" s="1"/>
  <c r="Z91" i="14" s="1"/>
  <c r="AA91" i="14" s="1"/>
  <c r="AB91" i="14" s="1"/>
  <c r="AC91" i="14" s="1"/>
  <c r="AD91" i="14" s="1"/>
  <c r="AE91" i="14" s="1"/>
  <c r="AF91" i="14" s="1"/>
  <c r="AG91" i="14" s="1"/>
  <c r="AH91" i="14" s="1"/>
  <c r="I92" i="14"/>
  <c r="J92" i="14"/>
  <c r="K92" i="14"/>
  <c r="L92" i="14"/>
  <c r="M92" i="14"/>
  <c r="N92" i="14" s="1"/>
  <c r="O92" i="14" s="1"/>
  <c r="P92" i="14"/>
  <c r="Q92" i="14" s="1"/>
  <c r="R92" i="14" s="1"/>
  <c r="S92" i="14"/>
  <c r="T92" i="14"/>
  <c r="U92" i="14" s="1"/>
  <c r="V92" i="14"/>
  <c r="W92" i="14"/>
  <c r="X92" i="14" s="1"/>
  <c r="Y92" i="14" s="1"/>
  <c r="Z92" i="14" s="1"/>
  <c r="AA92" i="14" s="1"/>
  <c r="AB92" i="14" s="1"/>
  <c r="AC92" i="14" s="1"/>
  <c r="AD92" i="14" s="1"/>
  <c r="AE92" i="14" s="1"/>
  <c r="AF92" i="14" s="1"/>
  <c r="AG92" i="14" s="1"/>
  <c r="AH92" i="14" s="1"/>
  <c r="I93" i="14"/>
  <c r="J93" i="14"/>
  <c r="K93" i="14"/>
  <c r="L93" i="14"/>
  <c r="M93" i="14"/>
  <c r="N93" i="14" s="1"/>
  <c r="O93" i="14" s="1"/>
  <c r="P93" i="14"/>
  <c r="Q93" i="14" s="1"/>
  <c r="R93" i="14" s="1"/>
  <c r="S93" i="14" s="1"/>
  <c r="T93" i="14" s="1"/>
  <c r="U93" i="14" s="1"/>
  <c r="V93" i="14" s="1"/>
  <c r="W93" i="14" s="1"/>
  <c r="X93" i="14" s="1"/>
  <c r="Y93" i="14" s="1"/>
  <c r="Z93" i="14" s="1"/>
  <c r="AA93" i="14" s="1"/>
  <c r="AB93" i="14" s="1"/>
  <c r="AC93" i="14" s="1"/>
  <c r="AD93" i="14" s="1"/>
  <c r="AE93" i="14" s="1"/>
  <c r="AF93" i="14" s="1"/>
  <c r="AG93" i="14" s="1"/>
  <c r="AH93" i="14" s="1"/>
  <c r="I94" i="14"/>
  <c r="J94" i="14"/>
  <c r="K94" i="14" s="1"/>
  <c r="L94" i="14" s="1"/>
  <c r="M94" i="14" s="1"/>
  <c r="N94" i="14" s="1"/>
  <c r="O94" i="14" s="1"/>
  <c r="P94" i="14" s="1"/>
  <c r="Q94" i="14" s="1"/>
  <c r="R94" i="14" s="1"/>
  <c r="S94" i="14" s="1"/>
  <c r="T94" i="14" s="1"/>
  <c r="U94" i="14" s="1"/>
  <c r="V94" i="14" s="1"/>
  <c r="W94" i="14" s="1"/>
  <c r="X94" i="14" s="1"/>
  <c r="Y94" i="14" s="1"/>
  <c r="Z94" i="14" s="1"/>
  <c r="AA94" i="14" s="1"/>
  <c r="AB94" i="14" s="1"/>
  <c r="AC94" i="14" s="1"/>
  <c r="AD94" i="14" s="1"/>
  <c r="AE94" i="14" s="1"/>
  <c r="AF94" i="14" s="1"/>
  <c r="AG94" i="14" s="1"/>
  <c r="AH94" i="14" s="1"/>
  <c r="I95" i="14"/>
  <c r="J95" i="14" s="1"/>
  <c r="K95" i="14" s="1"/>
  <c r="L95" i="14" s="1"/>
  <c r="M95" i="14" s="1"/>
  <c r="N95" i="14" s="1"/>
  <c r="O95" i="14" s="1"/>
  <c r="P95" i="14" s="1"/>
  <c r="Q95" i="14" s="1"/>
  <c r="R95" i="14" s="1"/>
  <c r="S95" i="14" s="1"/>
  <c r="T95" i="14" s="1"/>
  <c r="U95" i="14" s="1"/>
  <c r="V95" i="14" s="1"/>
  <c r="W95" i="14" s="1"/>
  <c r="X95" i="14" s="1"/>
  <c r="Y95" i="14" s="1"/>
  <c r="Z95" i="14" s="1"/>
  <c r="AA95" i="14" s="1"/>
  <c r="AB95" i="14" s="1"/>
  <c r="AC95" i="14" s="1"/>
  <c r="AD95" i="14" s="1"/>
  <c r="AE95" i="14" s="1"/>
  <c r="AF95" i="14" s="1"/>
  <c r="AG95" i="14" s="1"/>
  <c r="AH95" i="14" s="1"/>
  <c r="I96" i="14"/>
  <c r="J96" i="14"/>
  <c r="K96" i="14"/>
  <c r="L96" i="14"/>
  <c r="M96" i="14" s="1"/>
  <c r="N96" i="14"/>
  <c r="O96" i="14" s="1"/>
  <c r="P96" i="14" s="1"/>
  <c r="Q96" i="14"/>
  <c r="R96" i="14" s="1"/>
  <c r="S96" i="14" s="1"/>
  <c r="T96" i="14" s="1"/>
  <c r="U96" i="14" s="1"/>
  <c r="V96" i="14" s="1"/>
  <c r="W96" i="14" s="1"/>
  <c r="X96" i="14" s="1"/>
  <c r="Y96" i="14" s="1"/>
  <c r="Z96" i="14" s="1"/>
  <c r="AA96" i="14" s="1"/>
  <c r="AB96" i="14" s="1"/>
  <c r="AC96" i="14" s="1"/>
  <c r="AD96" i="14" s="1"/>
  <c r="AE96" i="14" s="1"/>
  <c r="AF96" i="14" s="1"/>
  <c r="AG96" i="14" s="1"/>
  <c r="AH96" i="14" s="1"/>
  <c r="I97" i="14"/>
  <c r="J97" i="14"/>
  <c r="K97" i="14" s="1"/>
  <c r="L97" i="14" s="1"/>
  <c r="M97" i="14" s="1"/>
  <c r="N97" i="14" s="1"/>
  <c r="O97" i="14" s="1"/>
  <c r="P97" i="14" s="1"/>
  <c r="Q97" i="14" s="1"/>
  <c r="R97" i="14" s="1"/>
  <c r="S97" i="14" s="1"/>
  <c r="T97" i="14" s="1"/>
  <c r="U97" i="14" s="1"/>
  <c r="V97" i="14" s="1"/>
  <c r="W97" i="14" s="1"/>
  <c r="X97" i="14" s="1"/>
  <c r="Y97" i="14" s="1"/>
  <c r="Z97" i="14" s="1"/>
  <c r="AA97" i="14" s="1"/>
  <c r="AB97" i="14" s="1"/>
  <c r="AC97" i="14" s="1"/>
  <c r="AD97" i="14" s="1"/>
  <c r="AE97" i="14" s="1"/>
  <c r="AF97" i="14" s="1"/>
  <c r="AG97" i="14" s="1"/>
  <c r="AH97" i="14" s="1"/>
  <c r="I98" i="14"/>
  <c r="J98" i="14"/>
  <c r="K98" i="14"/>
  <c r="L98" i="14"/>
  <c r="M98" i="14"/>
  <c r="N98" i="14" s="1"/>
  <c r="O98" i="14" s="1"/>
  <c r="P98" i="14"/>
  <c r="Q98" i="14" s="1"/>
  <c r="R98" i="14" s="1"/>
  <c r="S98" i="14"/>
  <c r="T98" i="14"/>
  <c r="U98" i="14" s="1"/>
  <c r="V98" i="14"/>
  <c r="W98" i="14"/>
  <c r="X98" i="14" s="1"/>
  <c r="Y98" i="14" s="1"/>
  <c r="Z98" i="14" s="1"/>
  <c r="AA98" i="14" s="1"/>
  <c r="AB98" i="14" s="1"/>
  <c r="AC98" i="14" s="1"/>
  <c r="AD98" i="14" s="1"/>
  <c r="AE98" i="14" s="1"/>
  <c r="AF98" i="14" s="1"/>
  <c r="AG98" i="14" s="1"/>
  <c r="AH98" i="14" s="1"/>
  <c r="I99" i="14"/>
  <c r="J99" i="14"/>
  <c r="K99" i="14"/>
  <c r="L99" i="14"/>
  <c r="M99" i="14"/>
  <c r="N99" i="14" s="1"/>
  <c r="O99" i="14" s="1"/>
  <c r="P99" i="14"/>
  <c r="Q99" i="14" s="1"/>
  <c r="R99" i="14" s="1"/>
  <c r="S99" i="14" s="1"/>
  <c r="T99" i="14" s="1"/>
  <c r="U99" i="14" s="1"/>
  <c r="V99" i="14" s="1"/>
  <c r="W99" i="14" s="1"/>
  <c r="X99" i="14" s="1"/>
  <c r="Y99" i="14" s="1"/>
  <c r="Z99" i="14" s="1"/>
  <c r="AA99" i="14" s="1"/>
  <c r="AB99" i="14" s="1"/>
  <c r="AC99" i="14" s="1"/>
  <c r="AD99" i="14" s="1"/>
  <c r="AE99" i="14" s="1"/>
  <c r="AF99" i="14" s="1"/>
  <c r="AG99" i="14" s="1"/>
  <c r="AH99" i="14" s="1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25" i="14"/>
  <c r="AH5" i="14"/>
  <c r="AH6" i="14"/>
  <c r="AH7" i="14"/>
  <c r="AH8" i="14"/>
  <c r="AH9" i="14"/>
  <c r="AH10" i="14"/>
  <c r="AH11" i="14"/>
  <c r="AH12" i="14"/>
  <c r="AH13" i="14"/>
  <c r="AH14" i="14"/>
  <c r="AH15" i="14"/>
  <c r="AH16" i="14"/>
  <c r="AH17" i="14"/>
  <c r="AH18" i="14"/>
  <c r="AH19" i="14"/>
  <c r="AH20" i="14"/>
  <c r="AH21" i="14"/>
  <c r="AH22" i="14"/>
  <c r="AH23" i="14"/>
  <c r="Z5" i="14"/>
  <c r="AA5" i="14"/>
  <c r="AB5" i="14"/>
  <c r="AC5" i="14" s="1"/>
  <c r="AD5" i="14" s="1"/>
  <c r="AE5" i="14" s="1"/>
  <c r="AF5" i="14" s="1"/>
  <c r="AG5" i="14" s="1"/>
  <c r="Z6" i="14"/>
  <c r="AA6" i="14"/>
  <c r="AB6" i="14"/>
  <c r="AC6" i="14"/>
  <c r="AD6" i="14" s="1"/>
  <c r="AE6" i="14" s="1"/>
  <c r="AF6" i="14" s="1"/>
  <c r="AG6" i="14" s="1"/>
  <c r="Z7" i="14"/>
  <c r="AA7" i="14"/>
  <c r="AB7" i="14"/>
  <c r="AC7" i="14"/>
  <c r="AD7" i="14"/>
  <c r="AE7" i="14"/>
  <c r="AF7" i="14"/>
  <c r="AG7" i="14"/>
  <c r="Z8" i="14"/>
  <c r="AA8" i="14"/>
  <c r="AB8" i="14"/>
  <c r="AC8" i="14" s="1"/>
  <c r="AD8" i="14" s="1"/>
  <c r="AE8" i="14" s="1"/>
  <c r="AF8" i="14" s="1"/>
  <c r="AG8" i="14" s="1"/>
  <c r="Z9" i="14"/>
  <c r="AA9" i="14"/>
  <c r="AB9" i="14"/>
  <c r="AC9" i="14"/>
  <c r="AD9" i="14" s="1"/>
  <c r="AE9" i="14" s="1"/>
  <c r="AF9" i="14" s="1"/>
  <c r="AG9" i="14" s="1"/>
  <c r="Z10" i="14"/>
  <c r="AA10" i="14"/>
  <c r="AB10" i="14"/>
  <c r="AC10" i="14"/>
  <c r="AD10" i="14"/>
  <c r="AE10" i="14"/>
  <c r="AF10" i="14"/>
  <c r="AG10" i="14"/>
  <c r="Z11" i="14"/>
  <c r="AA11" i="14"/>
  <c r="AB11" i="14"/>
  <c r="AC11" i="14" s="1"/>
  <c r="AD11" i="14" s="1"/>
  <c r="AE11" i="14" s="1"/>
  <c r="AF11" i="14" s="1"/>
  <c r="AG11" i="14" s="1"/>
  <c r="Z12" i="14"/>
  <c r="AA12" i="14"/>
  <c r="AB12" i="14"/>
  <c r="AC12" i="14"/>
  <c r="AD12" i="14" s="1"/>
  <c r="AE12" i="14" s="1"/>
  <c r="AF12" i="14" s="1"/>
  <c r="AG12" i="14" s="1"/>
  <c r="Z13" i="14"/>
  <c r="AA13" i="14"/>
  <c r="AB13" i="14"/>
  <c r="AC13" i="14"/>
  <c r="AD13" i="14"/>
  <c r="AE13" i="14"/>
  <c r="AF13" i="14"/>
  <c r="AG13" i="14"/>
  <c r="Z14" i="14"/>
  <c r="AA14" i="14"/>
  <c r="AB14" i="14"/>
  <c r="AC14" i="14" s="1"/>
  <c r="AD14" i="14" s="1"/>
  <c r="AE14" i="14" s="1"/>
  <c r="AF14" i="14" s="1"/>
  <c r="AG14" i="14" s="1"/>
  <c r="Z15" i="14"/>
  <c r="AA15" i="14"/>
  <c r="AB15" i="14"/>
  <c r="AC15" i="14"/>
  <c r="AD15" i="14" s="1"/>
  <c r="AE15" i="14" s="1"/>
  <c r="AF15" i="14" s="1"/>
  <c r="AG15" i="14" s="1"/>
  <c r="Z16" i="14"/>
  <c r="AA16" i="14" s="1"/>
  <c r="AB16" i="14" s="1"/>
  <c r="AC16" i="14" s="1"/>
  <c r="AD16" i="14" s="1"/>
  <c r="AE16" i="14" s="1"/>
  <c r="AF16" i="14" s="1"/>
  <c r="AG16" i="14" s="1"/>
  <c r="Z17" i="14"/>
  <c r="AA17" i="14"/>
  <c r="AB17" i="14"/>
  <c r="AC17" i="14" s="1"/>
  <c r="AD17" i="14" s="1"/>
  <c r="AE17" i="14" s="1"/>
  <c r="AF17" i="14" s="1"/>
  <c r="AG17" i="14" s="1"/>
  <c r="Z18" i="14"/>
  <c r="AA18" i="14"/>
  <c r="AB18" i="14"/>
  <c r="AC18" i="14"/>
  <c r="AD18" i="14" s="1"/>
  <c r="AE18" i="14" s="1"/>
  <c r="AF18" i="14" s="1"/>
  <c r="AG18" i="14" s="1"/>
  <c r="Z19" i="14"/>
  <c r="AA19" i="14" s="1"/>
  <c r="AB19" i="14" s="1"/>
  <c r="AC19" i="14" s="1"/>
  <c r="AD19" i="14" s="1"/>
  <c r="AE19" i="14" s="1"/>
  <c r="AF19" i="14" s="1"/>
  <c r="AG19" i="14" s="1"/>
  <c r="Z20" i="14"/>
  <c r="AA20" i="14"/>
  <c r="AB20" i="14"/>
  <c r="AC20" i="14" s="1"/>
  <c r="AD20" i="14" s="1"/>
  <c r="AE20" i="14" s="1"/>
  <c r="AF20" i="14" s="1"/>
  <c r="AG20" i="14" s="1"/>
  <c r="Z21" i="14"/>
  <c r="AA21" i="14"/>
  <c r="AB21" i="14"/>
  <c r="AC21" i="14"/>
  <c r="AD21" i="14" s="1"/>
  <c r="AE21" i="14" s="1"/>
  <c r="AF21" i="14" s="1"/>
  <c r="AG21" i="14" s="1"/>
  <c r="Z22" i="14"/>
  <c r="AA22" i="14"/>
  <c r="AB22" i="14"/>
  <c r="AC22" i="14"/>
  <c r="AD22" i="14"/>
  <c r="AE22" i="14"/>
  <c r="AF22" i="14"/>
  <c r="AG22" i="14"/>
  <c r="Z23" i="14"/>
  <c r="AA23" i="14"/>
  <c r="AB23" i="14"/>
  <c r="AC23" i="14" s="1"/>
  <c r="AD23" i="14" s="1"/>
  <c r="AE23" i="14" s="1"/>
  <c r="AF23" i="14" s="1"/>
  <c r="AG23" i="14" s="1"/>
  <c r="Y6" i="14"/>
  <c r="Y7" i="14"/>
  <c r="Y8" i="14"/>
  <c r="Y9" i="14"/>
  <c r="Y10" i="14"/>
  <c r="Y11" i="14"/>
  <c r="Y12" i="14"/>
  <c r="Y13" i="14"/>
  <c r="Y14" i="14"/>
  <c r="Y15" i="14"/>
  <c r="Y16" i="14"/>
  <c r="Y17" i="14"/>
  <c r="Y18" i="14"/>
  <c r="Y19" i="14"/>
  <c r="Y20" i="14"/>
  <c r="Y21" i="14"/>
  <c r="Y22" i="14"/>
  <c r="Y23" i="14"/>
  <c r="I6" i="14"/>
  <c r="J6" i="14" s="1"/>
  <c r="K6" i="14" s="1"/>
  <c r="L6" i="14" s="1"/>
  <c r="M6" i="14" s="1"/>
  <c r="N6" i="14" s="1"/>
  <c r="O6" i="14" s="1"/>
  <c r="P6" i="14" s="1"/>
  <c r="Q6" i="14" s="1"/>
  <c r="R6" i="14" s="1"/>
  <c r="S6" i="14" s="1"/>
  <c r="T6" i="14" s="1"/>
  <c r="U6" i="14" s="1"/>
  <c r="V6" i="14" s="1"/>
  <c r="W6" i="14" s="1"/>
  <c r="X6" i="14" s="1"/>
  <c r="I7" i="14"/>
  <c r="J7" i="14"/>
  <c r="K7" i="14" s="1"/>
  <c r="L7" i="14" s="1"/>
  <c r="M7" i="14" s="1"/>
  <c r="N7" i="14" s="1"/>
  <c r="O7" i="14" s="1"/>
  <c r="P7" i="14" s="1"/>
  <c r="Q7" i="14" s="1"/>
  <c r="R7" i="14" s="1"/>
  <c r="S7" i="14" s="1"/>
  <c r="T7" i="14" s="1"/>
  <c r="U7" i="14" s="1"/>
  <c r="V7" i="14" s="1"/>
  <c r="W7" i="14" s="1"/>
  <c r="X7" i="14" s="1"/>
  <c r="I8" i="14"/>
  <c r="J8" i="14" s="1"/>
  <c r="K8" i="14" s="1"/>
  <c r="L8" i="14" s="1"/>
  <c r="M8" i="14" s="1"/>
  <c r="N8" i="14" s="1"/>
  <c r="O8" i="14" s="1"/>
  <c r="P8" i="14" s="1"/>
  <c r="Q8" i="14" s="1"/>
  <c r="R8" i="14" s="1"/>
  <c r="S8" i="14" s="1"/>
  <c r="T8" i="14" s="1"/>
  <c r="U8" i="14" s="1"/>
  <c r="V8" i="14" s="1"/>
  <c r="W8" i="14" s="1"/>
  <c r="X8" i="14" s="1"/>
  <c r="I9" i="14"/>
  <c r="J9" i="14" s="1"/>
  <c r="K9" i="14" s="1"/>
  <c r="L9" i="14" s="1"/>
  <c r="M9" i="14" s="1"/>
  <c r="N9" i="14" s="1"/>
  <c r="O9" i="14" s="1"/>
  <c r="P9" i="14" s="1"/>
  <c r="Q9" i="14" s="1"/>
  <c r="R9" i="14" s="1"/>
  <c r="S9" i="14" s="1"/>
  <c r="T9" i="14" s="1"/>
  <c r="U9" i="14" s="1"/>
  <c r="V9" i="14" s="1"/>
  <c r="W9" i="14" s="1"/>
  <c r="X9" i="14" s="1"/>
  <c r="I10" i="14"/>
  <c r="J10" i="14"/>
  <c r="K10" i="14"/>
  <c r="L10" i="14"/>
  <c r="M10" i="14"/>
  <c r="N10" i="14"/>
  <c r="O10" i="14"/>
  <c r="P10" i="14" s="1"/>
  <c r="Q10" i="14" s="1"/>
  <c r="R10" i="14" s="1"/>
  <c r="S10" i="14" s="1"/>
  <c r="T10" i="14" s="1"/>
  <c r="U10" i="14" s="1"/>
  <c r="V10" i="14" s="1"/>
  <c r="W10" i="14" s="1"/>
  <c r="X10" i="14" s="1"/>
  <c r="I11" i="14"/>
  <c r="J11" i="14"/>
  <c r="K11" i="14"/>
  <c r="L11" i="14"/>
  <c r="M11" i="14"/>
  <c r="N11" i="14"/>
  <c r="O11" i="14" s="1"/>
  <c r="P11" i="14" s="1"/>
  <c r="Q11" i="14" s="1"/>
  <c r="R11" i="14" s="1"/>
  <c r="S11" i="14" s="1"/>
  <c r="T11" i="14" s="1"/>
  <c r="U11" i="14" s="1"/>
  <c r="V11" i="14" s="1"/>
  <c r="W11" i="14" s="1"/>
  <c r="X11" i="14" s="1"/>
  <c r="I12" i="14"/>
  <c r="J12" i="14"/>
  <c r="K12" i="14"/>
  <c r="L12" i="14"/>
  <c r="M12" i="14"/>
  <c r="N12" i="14" s="1"/>
  <c r="O12" i="14" s="1"/>
  <c r="P12" i="14" s="1"/>
  <c r="Q12" i="14" s="1"/>
  <c r="R12" i="14" s="1"/>
  <c r="S12" i="14" s="1"/>
  <c r="T12" i="14" s="1"/>
  <c r="U12" i="14" s="1"/>
  <c r="V12" i="14" s="1"/>
  <c r="W12" i="14" s="1"/>
  <c r="X12" i="14" s="1"/>
  <c r="I13" i="14"/>
  <c r="J13" i="14"/>
  <c r="K13" i="14"/>
  <c r="L13" i="14"/>
  <c r="M13" i="14" s="1"/>
  <c r="N13" i="14" s="1"/>
  <c r="O13" i="14" s="1"/>
  <c r="P13" i="14" s="1"/>
  <c r="Q13" i="14" s="1"/>
  <c r="R13" i="14" s="1"/>
  <c r="S13" i="14" s="1"/>
  <c r="T13" i="14" s="1"/>
  <c r="U13" i="14" s="1"/>
  <c r="V13" i="14" s="1"/>
  <c r="W13" i="14" s="1"/>
  <c r="X13" i="14" s="1"/>
  <c r="I14" i="14"/>
  <c r="J14" i="14"/>
  <c r="K14" i="14"/>
  <c r="L14" i="14" s="1"/>
  <c r="M14" i="14" s="1"/>
  <c r="N14" i="14" s="1"/>
  <c r="O14" i="14" s="1"/>
  <c r="P14" i="14" s="1"/>
  <c r="Q14" i="14" s="1"/>
  <c r="R14" i="14" s="1"/>
  <c r="S14" i="14" s="1"/>
  <c r="T14" i="14" s="1"/>
  <c r="U14" i="14" s="1"/>
  <c r="V14" i="14" s="1"/>
  <c r="W14" i="14" s="1"/>
  <c r="X14" i="14" s="1"/>
  <c r="I15" i="14"/>
  <c r="J15" i="14"/>
  <c r="K15" i="14" s="1"/>
  <c r="L15" i="14" s="1"/>
  <c r="M15" i="14" s="1"/>
  <c r="N15" i="14" s="1"/>
  <c r="O15" i="14" s="1"/>
  <c r="P15" i="14" s="1"/>
  <c r="Q15" i="14" s="1"/>
  <c r="R15" i="14" s="1"/>
  <c r="S15" i="14" s="1"/>
  <c r="T15" i="14" s="1"/>
  <c r="U15" i="14" s="1"/>
  <c r="V15" i="14" s="1"/>
  <c r="W15" i="14" s="1"/>
  <c r="X15" i="14" s="1"/>
  <c r="I16" i="14"/>
  <c r="J16" i="14" s="1"/>
  <c r="K16" i="14" s="1"/>
  <c r="L16" i="14" s="1"/>
  <c r="M16" i="14" s="1"/>
  <c r="N16" i="14" s="1"/>
  <c r="O16" i="14" s="1"/>
  <c r="P16" i="14" s="1"/>
  <c r="Q16" i="14" s="1"/>
  <c r="R16" i="14" s="1"/>
  <c r="S16" i="14" s="1"/>
  <c r="T16" i="14" s="1"/>
  <c r="U16" i="14" s="1"/>
  <c r="V16" i="14" s="1"/>
  <c r="W16" i="14" s="1"/>
  <c r="X16" i="14" s="1"/>
  <c r="I17" i="14"/>
  <c r="J17" i="14" s="1"/>
  <c r="K17" i="14" s="1"/>
  <c r="L17" i="14" s="1"/>
  <c r="M17" i="14" s="1"/>
  <c r="N17" i="14" s="1"/>
  <c r="O17" i="14" s="1"/>
  <c r="P17" i="14" s="1"/>
  <c r="Q17" i="14" s="1"/>
  <c r="R17" i="14" s="1"/>
  <c r="S17" i="14" s="1"/>
  <c r="T17" i="14" s="1"/>
  <c r="U17" i="14" s="1"/>
  <c r="V17" i="14" s="1"/>
  <c r="W17" i="14" s="1"/>
  <c r="X17" i="14" s="1"/>
  <c r="I18" i="14"/>
  <c r="J18" i="14" s="1"/>
  <c r="K18" i="14" s="1"/>
  <c r="L18" i="14" s="1"/>
  <c r="M18" i="14" s="1"/>
  <c r="N18" i="14" s="1"/>
  <c r="O18" i="14" s="1"/>
  <c r="P18" i="14" s="1"/>
  <c r="Q18" i="14" s="1"/>
  <c r="R18" i="14" s="1"/>
  <c r="S18" i="14" s="1"/>
  <c r="T18" i="14" s="1"/>
  <c r="U18" i="14" s="1"/>
  <c r="V18" i="14" s="1"/>
  <c r="W18" i="14" s="1"/>
  <c r="X18" i="14" s="1"/>
  <c r="I19" i="14"/>
  <c r="J19" i="14"/>
  <c r="K19" i="14" s="1"/>
  <c r="L19" i="14" s="1"/>
  <c r="M19" i="14" s="1"/>
  <c r="N19" i="14" s="1"/>
  <c r="O19" i="14" s="1"/>
  <c r="P19" i="14" s="1"/>
  <c r="Q19" i="14" s="1"/>
  <c r="R19" i="14" s="1"/>
  <c r="S19" i="14" s="1"/>
  <c r="T19" i="14" s="1"/>
  <c r="U19" i="14" s="1"/>
  <c r="V19" i="14" s="1"/>
  <c r="W19" i="14" s="1"/>
  <c r="X19" i="14" s="1"/>
  <c r="I20" i="14"/>
  <c r="J20" i="14" s="1"/>
  <c r="K20" i="14" s="1"/>
  <c r="L20" i="14" s="1"/>
  <c r="M20" i="14" s="1"/>
  <c r="N20" i="14" s="1"/>
  <c r="O20" i="14" s="1"/>
  <c r="P20" i="14" s="1"/>
  <c r="Q20" i="14" s="1"/>
  <c r="R20" i="14" s="1"/>
  <c r="S20" i="14" s="1"/>
  <c r="T20" i="14" s="1"/>
  <c r="U20" i="14" s="1"/>
  <c r="V20" i="14" s="1"/>
  <c r="W20" i="14" s="1"/>
  <c r="X20" i="14" s="1"/>
  <c r="I21" i="14"/>
  <c r="J21" i="14" s="1"/>
  <c r="K21" i="14" s="1"/>
  <c r="L21" i="14" s="1"/>
  <c r="M21" i="14" s="1"/>
  <c r="N21" i="14" s="1"/>
  <c r="O21" i="14" s="1"/>
  <c r="P21" i="14" s="1"/>
  <c r="Q21" i="14" s="1"/>
  <c r="R21" i="14" s="1"/>
  <c r="S21" i="14" s="1"/>
  <c r="T21" i="14" s="1"/>
  <c r="U21" i="14" s="1"/>
  <c r="V21" i="14" s="1"/>
  <c r="W21" i="14" s="1"/>
  <c r="X21" i="14" s="1"/>
  <c r="I22" i="14"/>
  <c r="J22" i="14"/>
  <c r="K22" i="14"/>
  <c r="L22" i="14"/>
  <c r="M22" i="14"/>
  <c r="N22" i="14"/>
  <c r="O22" i="14"/>
  <c r="P22" i="14" s="1"/>
  <c r="Q22" i="14" s="1"/>
  <c r="R22" i="14" s="1"/>
  <c r="S22" i="14" s="1"/>
  <c r="T22" i="14" s="1"/>
  <c r="U22" i="14" s="1"/>
  <c r="V22" i="14" s="1"/>
  <c r="W22" i="14" s="1"/>
  <c r="X22" i="14" s="1"/>
  <c r="I23" i="14"/>
  <c r="J23" i="14"/>
  <c r="K23" i="14"/>
  <c r="L23" i="14"/>
  <c r="M23" i="14"/>
  <c r="N23" i="14"/>
  <c r="O23" i="14" s="1"/>
  <c r="P23" i="14" s="1"/>
  <c r="Q23" i="14" s="1"/>
  <c r="R23" i="14" s="1"/>
  <c r="S23" i="14" s="1"/>
  <c r="T23" i="14" s="1"/>
  <c r="U23" i="14" s="1"/>
  <c r="V23" i="14" s="1"/>
  <c r="W23" i="14" s="1"/>
  <c r="X23" i="14" s="1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Y5" i="14"/>
  <c r="X5" i="14"/>
  <c r="S5" i="14"/>
  <c r="T5" i="14"/>
  <c r="U5" i="14"/>
  <c r="V5" i="14" s="1"/>
  <c r="W5" i="14" s="1"/>
  <c r="R5" i="14"/>
  <c r="K5" i="14"/>
  <c r="L5" i="14"/>
  <c r="M5" i="14"/>
  <c r="N5" i="14" s="1"/>
  <c r="O5" i="14" s="1"/>
  <c r="P5" i="14" s="1"/>
  <c r="Q5" i="14" s="1"/>
  <c r="H6" i="14"/>
  <c r="I5" i="14"/>
  <c r="J5" i="14" s="1"/>
  <c r="H5" i="14"/>
  <c r="B35" i="1"/>
</calcChain>
</file>

<file path=xl/sharedStrings.xml><?xml version="1.0" encoding="utf-8"?>
<sst xmlns="http://schemas.openxmlformats.org/spreadsheetml/2006/main" count="323" uniqueCount="207">
  <si>
    <t>Km</t>
  </si>
  <si>
    <t>-</t>
  </si>
  <si>
    <t>Ain</t>
  </si>
  <si>
    <t>Aisne</t>
  </si>
  <si>
    <t>Allier</t>
  </si>
  <si>
    <t>Alpes-de-Haute-Prove</t>
  </si>
  <si>
    <t>Hautes-Alpes</t>
  </si>
  <si>
    <t>Alpes-Maritimes</t>
  </si>
  <si>
    <t>Ardèche</t>
  </si>
  <si>
    <t>Ardennes</t>
  </si>
  <si>
    <t>Ariège</t>
  </si>
  <si>
    <t>Aube</t>
  </si>
  <si>
    <t>Aude</t>
  </si>
  <si>
    <t>Aveyron</t>
  </si>
  <si>
    <t>Bouches-du-Rhône</t>
  </si>
  <si>
    <t>Calvados</t>
  </si>
  <si>
    <t>Cantal</t>
  </si>
  <si>
    <t>Charente</t>
  </si>
  <si>
    <t>Charente-Maritime</t>
  </si>
  <si>
    <t>Cher</t>
  </si>
  <si>
    <t>Corrèze</t>
  </si>
  <si>
    <t>Côte-d'Or</t>
  </si>
  <si>
    <t>Côtes-d'Armor</t>
  </si>
  <si>
    <t>Creuse</t>
  </si>
  <si>
    <t>Dordogne</t>
  </si>
  <si>
    <t>Doubs</t>
  </si>
  <si>
    <t>Drôme</t>
  </si>
  <si>
    <t>Eure</t>
  </si>
  <si>
    <t>Eure-et-Loir</t>
  </si>
  <si>
    <t>Finistère</t>
  </si>
  <si>
    <t>Gard</t>
  </si>
  <si>
    <t>Haute-Garonne</t>
  </si>
  <si>
    <t>Gers</t>
  </si>
  <si>
    <t>Gironde</t>
  </si>
  <si>
    <t>Hérault</t>
  </si>
  <si>
    <t>Ille-et-Vilaine</t>
  </si>
  <si>
    <t>Indre</t>
  </si>
  <si>
    <t>Indre-et-Loire</t>
  </si>
  <si>
    <t>Isère</t>
  </si>
  <si>
    <t>Jura</t>
  </si>
  <si>
    <t>Landes</t>
  </si>
  <si>
    <t>Loir-et-Cher</t>
  </si>
  <si>
    <t>Loire</t>
  </si>
  <si>
    <t>Haute-Loire</t>
  </si>
  <si>
    <t>Loire-Atlantique</t>
  </si>
  <si>
    <t>Loiret</t>
  </si>
  <si>
    <t>Lot</t>
  </si>
  <si>
    <t>Lot-et-Garonne</t>
  </si>
  <si>
    <t>Lozère</t>
  </si>
  <si>
    <t>Maine-et-Loire</t>
  </si>
  <si>
    <t>Manche</t>
  </si>
  <si>
    <t>Marne</t>
  </si>
  <si>
    <t>Haute-Marne</t>
  </si>
  <si>
    <t>Mayenne</t>
  </si>
  <si>
    <t>Meurthe-et-Moselle</t>
  </si>
  <si>
    <t>Meuse</t>
  </si>
  <si>
    <t>Morbihan</t>
  </si>
  <si>
    <t>Moselle</t>
  </si>
  <si>
    <t>Nièvre</t>
  </si>
  <si>
    <t>Nord</t>
  </si>
  <si>
    <t>Oise</t>
  </si>
  <si>
    <t>Orne</t>
  </si>
  <si>
    <t>Pas-de-Calais</t>
  </si>
  <si>
    <t>Puy-de-Dôme</t>
  </si>
  <si>
    <t>Pyrénées-Atlantiques</t>
  </si>
  <si>
    <t>Hautes-Pyrénées</t>
  </si>
  <si>
    <t>Pyrénées-Orientales</t>
  </si>
  <si>
    <t>Bas-Rhin</t>
  </si>
  <si>
    <t>Haut-Rhin</t>
  </si>
  <si>
    <t>Rhône</t>
  </si>
  <si>
    <t>Haute-Saône</t>
  </si>
  <si>
    <t>Saône-et-Loire</t>
  </si>
  <si>
    <t>Sarthe</t>
  </si>
  <si>
    <t>Savoie</t>
  </si>
  <si>
    <t>Haute-Savoie</t>
  </si>
  <si>
    <t>Paris</t>
  </si>
  <si>
    <t>Seine-Maritime</t>
  </si>
  <si>
    <t>Seine-et-Marne</t>
  </si>
  <si>
    <t>Yvelines</t>
  </si>
  <si>
    <t>Deux-Sèvres</t>
  </si>
  <si>
    <t>Somme</t>
  </si>
  <si>
    <t>Tarn</t>
  </si>
  <si>
    <t>Tarn-et-Garonne</t>
  </si>
  <si>
    <t>Var</t>
  </si>
  <si>
    <t>Vaucluse</t>
  </si>
  <si>
    <t>Vendée</t>
  </si>
  <si>
    <t>Vienne</t>
  </si>
  <si>
    <t>Haute-Vienne</t>
  </si>
  <si>
    <t>Vosges</t>
  </si>
  <si>
    <t>Yonne</t>
  </si>
  <si>
    <t>Territoire de Belfor</t>
  </si>
  <si>
    <t>Essonne</t>
  </si>
  <si>
    <t>Hauts-de-Seine</t>
  </si>
  <si>
    <t>Seine-Saint-Denis</t>
  </si>
  <si>
    <t>Val-de-Marne</t>
  </si>
  <si>
    <t>Val-d'Oise</t>
  </si>
  <si>
    <t>Metre</t>
  </si>
  <si>
    <t>tonnage</t>
  </si>
  <si>
    <t>Table d'équivalence</t>
  </si>
  <si>
    <t>Palettes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</si>
  <si>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</si>
  <si>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</si>
  <si>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</si>
  <si>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</si>
  <si>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</si>
  <si>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</si>
  <si>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</si>
  <si>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</si>
  <si>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</si>
  <si>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</si>
  <si>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</si>
  <si>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</si>
  <si>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</si>
  <si>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</si>
  <si>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</si>
  <si>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</si>
  <si>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</si>
  <si>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</si>
  <si>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</si>
  <si>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</si>
  <si>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</si>
  <si>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</si>
  <si>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</si>
  <si>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</si>
  <si>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</si>
  <si>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</si>
  <si>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</si>
  <si>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</si>
  <si>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</si>
  <si>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</si>
  <si>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</si>
  <si>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</si>
  <si>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</si>
  <si>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M plancher</t>
  </si>
  <si>
    <t>Départements</t>
  </si>
  <si>
    <t>02</t>
  </si>
  <si>
    <t>03</t>
  </si>
  <si>
    <t>04</t>
  </si>
  <si>
    <t>05</t>
  </si>
  <si>
    <t>06</t>
  </si>
  <si>
    <t>07</t>
  </si>
  <si>
    <t>08</t>
  </si>
  <si>
    <t>09</t>
  </si>
  <si>
    <t>Nous consulter</t>
  </si>
  <si>
    <t>Tarif applicable pour des palettes 80 X 120 X 200 - 750 kilos maxi</t>
  </si>
  <si>
    <t>Livraison hayon de 1 à 15 palettes : 25 Euros - de 16 à 33 palettes : 50 Euros</t>
  </si>
  <si>
    <t>Livraison sur RDV: 35€</t>
  </si>
  <si>
    <t>Villes montagneuses et prestations spécifiques : nous consulter</t>
  </si>
  <si>
    <t>Ces prix s'entendent en Euros et H.T</t>
  </si>
  <si>
    <t>Date de validité : 31 décembre 2020</t>
  </si>
  <si>
    <t>Départements départ :</t>
  </si>
  <si>
    <t xml:space="preserve">Départements de départ hors ile de France </t>
  </si>
  <si>
    <t>Départements de départ hors ile de France  Zone Longue</t>
  </si>
  <si>
    <t>80x120</t>
  </si>
  <si>
    <t>100x120</t>
  </si>
  <si>
    <t>120x120</t>
  </si>
  <si>
    <t>100x160</t>
  </si>
  <si>
    <t>60x80</t>
  </si>
  <si>
    <t xml:space="preserve">le client renseigne le nombre de palette tout type de dimension </t>
  </si>
  <si>
    <t>validation</t>
  </si>
  <si>
    <t xml:space="preserve">le modul devra calculer l'équivalence du nombre de palette en palette standard et en metre plancher </t>
  </si>
  <si>
    <t xml:space="preserve">c’est-à-dire :  sur la feuille équivalence métrage l'algorythme aditionne tout les métrage pour obtenir un métrage plancher total </t>
  </si>
  <si>
    <t>puis pour l'équivalence polette standard: on divise le métrage obtenu par 0,40 arondire à l'unité superieur</t>
  </si>
  <si>
    <t>lire sur la grille selon le nombre de palette et le département à l'intersection le tarif de la liaison</t>
  </si>
  <si>
    <t>puis calculer la taxe gasoil équivalente avec le taux du mois en cours de la feuille taxe GO que multiplie le montant ht</t>
  </si>
  <si>
    <t>IMPORT : me laisser la possibilité de modifier les tarifs de la grille ainsi que le taux de GO à tout moment</t>
  </si>
  <si>
    <t xml:space="preserve">CP de départ : </t>
  </si>
  <si>
    <t>Par défaut celui de l'adresse du client (avec possibilité de modifier)</t>
  </si>
  <si>
    <t>CP de destination</t>
  </si>
  <si>
    <t xml:space="preserve">Pour les CP dérouler les villes correspondants à la frappe </t>
  </si>
  <si>
    <t>N°</t>
  </si>
  <si>
    <t>Nom</t>
  </si>
  <si>
    <t>€/km</t>
  </si>
  <si>
    <t>surcharge selon Livraison</t>
  </si>
  <si>
    <t>surcharge selon Départ</t>
  </si>
  <si>
    <t>100X100</t>
  </si>
  <si>
    <t>nombre</t>
  </si>
  <si>
    <t>Options Supplémentaire</t>
  </si>
  <si>
    <t>&lt;=15 PAL</t>
  </si>
  <si>
    <t>&gt;16 PAL</t>
  </si>
  <si>
    <t>Hayon</t>
  </si>
  <si>
    <t>Prise de RDV</t>
  </si>
  <si>
    <t>Matière ADR</t>
  </si>
  <si>
    <t>Chgt au Pont</t>
  </si>
  <si>
    <t>Hayon : mois de 15 palette = 25 € plus de 16 palettes = 50 €</t>
  </si>
  <si>
    <t>Prise de RDV = 30 €</t>
  </si>
  <si>
    <t>Matière ADR = +10% du prix</t>
  </si>
  <si>
    <t>Tarif Achats</t>
  </si>
  <si>
    <t>€</t>
  </si>
  <si>
    <t>Trajets courts KM</t>
  </si>
  <si>
    <t xml:space="preserve">Barre de Recherche </t>
  </si>
  <si>
    <t xml:space="preserve">Département </t>
  </si>
  <si>
    <t>Option Services</t>
  </si>
  <si>
    <t>Description marchandises :</t>
  </si>
  <si>
    <t>Nmbre Palettes</t>
  </si>
  <si>
    <t>MPL</t>
  </si>
  <si>
    <t>Poids</t>
  </si>
  <si>
    <t>Résultat des recherche</t>
  </si>
  <si>
    <t xml:space="preserve">Noms </t>
  </si>
  <si>
    <t>Nom Contact</t>
  </si>
  <si>
    <t>N° Tél</t>
  </si>
  <si>
    <t>Distance estimée</t>
  </si>
  <si>
    <t>Tarif HA Grille</t>
  </si>
  <si>
    <t>Tarif HA €/km</t>
  </si>
  <si>
    <t>Département  Départ</t>
  </si>
  <si>
    <t>département Arrivé</t>
  </si>
  <si>
    <t>Grille tarif Transporteur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</si>
</sst>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#,##0.00\ [$€-40C];[Red]\-#,##0.00\ [$€-40C]"/>
    <numFmt numFmtId="165" formatCode="0.0"/>
  </numFmts>
  <fonts count="21" x14ac:knownFonts="1">
    <font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color rgb="FF000000"/>
      <name val="Arial Narrow"/>
      <family val="2"/>
    </font>
    <font>
      <b/>
      <sz val="9"/>
      <color rgb="FFFF0000"/>
      <name val="Arial Narrow"/>
      <family val="2"/>
    </font>
    <font>
      <b/>
      <i/>
      <sz val="9"/>
      <color rgb="FF000000"/>
      <name val="Arial Narrow"/>
      <family val="2"/>
    </font>
    <font>
      <b/>
      <sz val="8"/>
      <color rgb="FF000000"/>
      <name val="Arial Narrow"/>
      <family val="2"/>
    </font>
    <font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0"/>
      <color rgb="FFFF0000"/>
      <name val="Arial"/>
      <family val="2"/>
    </font>
    <font>
      <sz val="11"/>
      <color rgb="FFFF0000"/>
      <name val="Calibri"/>
      <family val="2"/>
    </font>
    <font>
      <sz val="11"/>
      <color theme="1"/>
      <name val="Calibri"/>
      <family val="2"/>
    </font>
    <font>
      <sz val="10"/>
      <name val="MS Sans Serif"/>
      <family val="2"/>
    </font>
    <font>
      <b/>
      <i/>
      <sz val="10"/>
      <name val="Arial"/>
      <family val="2"/>
    </font>
    <font>
      <sz val="11"/>
      <color rgb="FF1F497D"/>
      <name val="Calibri"/>
      <family val="2"/>
    </font>
    <font>
      <b/>
      <sz val="12"/>
      <color rgb="FFFF000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b/>
      <sz val="12"/>
      <name val="Arial"/>
      <family val="2"/>
    </font>
    <font>
      <b/>
      <sz val="1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B4C6E7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8EA9DB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ill="0" applyBorder="0" applyAlignment="0" applyProtection="0"/>
    <xf numFmtId="0" fontId="13" fillId="0" borderId="0"/>
  </cellStyleXfs>
  <cellXfs count="79">
    <xf numFmtId="0" fontId="0" fillId="0" borderId="0" xfId="0"/>
    <xf numFmtId="0" fontId="2" fillId="0" borderId="0" xfId="0" applyFont="1"/>
    <xf numFmtId="0" fontId="3" fillId="0" borderId="1" xfId="0" applyFont="1" applyBorder="1"/>
    <xf numFmtId="0" fontId="3" fillId="0" borderId="4" xfId="0" applyFont="1" applyBorder="1"/>
    <xf numFmtId="0" fontId="0" fillId="0" borderId="2" xfId="0" applyBorder="1"/>
    <xf numFmtId="0" fontId="0" fillId="0" borderId="3" xfId="0" applyBorder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9" fontId="0" fillId="0" borderId="0" xfId="0" applyNumberFormat="1" applyAlignment="1">
      <alignment vertical="center" wrapText="1"/>
    </xf>
    <xf numFmtId="0" fontId="0" fillId="0" borderId="0" xfId="0" applyAlignment="1">
      <alignment horizontal="center" vertical="center" wrapText="1"/>
    </xf>
    <xf numFmtId="44" fontId="1" fillId="0" borderId="0" xfId="1" applyAlignment="1">
      <alignment horizontal="right" vertical="center" wrapText="1"/>
    </xf>
    <xf numFmtId="44" fontId="1" fillId="0" borderId="0" xfId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8" fontId="1" fillId="0" borderId="0" xfId="1" applyNumberFormat="1" applyAlignment="1">
      <alignment horizontal="right" vertical="center" wrapText="1"/>
    </xf>
    <xf numFmtId="0" fontId="3" fillId="0" borderId="0" xfId="0" applyFont="1" applyAlignment="1">
      <alignment horizontal="center"/>
    </xf>
    <xf numFmtId="2" fontId="3" fillId="0" borderId="0" xfId="0" applyNumberFormat="1" applyFont="1" applyAlignment="1">
      <alignment horizontal="center"/>
    </xf>
    <xf numFmtId="0" fontId="4" fillId="2" borderId="0" xfId="0" applyFont="1" applyFill="1" applyAlignment="1">
      <alignment horizontal="center" vertical="center"/>
    </xf>
    <xf numFmtId="49" fontId="4" fillId="2" borderId="5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49" fontId="4" fillId="3" borderId="5" xfId="0" applyNumberFormat="1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49" fontId="4" fillId="4" borderId="5" xfId="0" applyNumberFormat="1" applyFont="1" applyFill="1" applyBorder="1" applyAlignment="1">
      <alignment horizontal="center" vertical="center"/>
    </xf>
    <xf numFmtId="0" fontId="6" fillId="5" borderId="6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6" fillId="5" borderId="8" xfId="0" applyFont="1" applyFill="1" applyBorder="1" applyAlignment="1">
      <alignment vertical="center"/>
    </xf>
    <xf numFmtId="0" fontId="4" fillId="4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9" fontId="0" fillId="0" borderId="0" xfId="0" applyNumberFormat="1" applyAlignment="1">
      <alignment horizontal="center" vertical="center" wrapText="1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5" xfId="0" applyBorder="1" applyAlignment="1">
      <alignment horizontal="center"/>
    </xf>
    <xf numFmtId="2" fontId="3" fillId="0" borderId="5" xfId="0" applyNumberFormat="1" applyFont="1" applyBorder="1" applyAlignment="1">
      <alignment horizontal="center"/>
    </xf>
    <xf numFmtId="0" fontId="0" fillId="0" borderId="5" xfId="0" applyBorder="1"/>
    <xf numFmtId="1" fontId="3" fillId="0" borderId="5" xfId="0" applyNumberFormat="1" applyFont="1" applyBorder="1" applyAlignment="1">
      <alignment horizontal="center"/>
    </xf>
    <xf numFmtId="165" fontId="3" fillId="0" borderId="5" xfId="0" applyNumberFormat="1" applyFont="1" applyBorder="1" applyAlignment="1">
      <alignment horizontal="center"/>
    </xf>
    <xf numFmtId="2" fontId="0" fillId="0" borderId="5" xfId="0" applyNumberFormat="1" applyBorder="1"/>
    <xf numFmtId="1" fontId="3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9" fillId="0" borderId="0" xfId="0" applyFont="1"/>
    <xf numFmtId="0" fontId="10" fillId="0" borderId="0" xfId="0" applyFont="1"/>
    <xf numFmtId="44" fontId="0" fillId="0" borderId="0" xfId="1" applyFont="1" applyAlignment="1">
      <alignment horizontal="right" vertical="center" wrapText="1"/>
    </xf>
    <xf numFmtId="0" fontId="8" fillId="0" borderId="0" xfId="0" applyFont="1" applyAlignment="1">
      <alignment horizontal="center"/>
    </xf>
    <xf numFmtId="2" fontId="0" fillId="0" borderId="0" xfId="0" applyNumberFormat="1"/>
    <xf numFmtId="0" fontId="11" fillId="6" borderId="0" xfId="0" applyFont="1" applyFill="1"/>
    <xf numFmtId="0" fontId="12" fillId="0" borderId="5" xfId="0" applyFont="1" applyBorder="1"/>
    <xf numFmtId="6" fontId="0" fillId="0" borderId="0" xfId="0" applyNumberFormat="1"/>
    <xf numFmtId="9" fontId="0" fillId="0" borderId="0" xfId="0" applyNumberFormat="1"/>
    <xf numFmtId="0" fontId="14" fillId="0" borderId="0" xfId="2" applyFont="1" applyAlignment="1">
      <alignment vertical="center"/>
    </xf>
    <xf numFmtId="0" fontId="15" fillId="0" borderId="0" xfId="0" applyFont="1" applyAlignment="1">
      <alignment vertical="center"/>
    </xf>
    <xf numFmtId="8" fontId="0" fillId="0" borderId="0" xfId="0" applyNumberFormat="1"/>
    <xf numFmtId="44" fontId="0" fillId="0" borderId="0" xfId="0" applyNumberFormat="1"/>
    <xf numFmtId="0" fontId="8" fillId="6" borderId="9" xfId="0" applyFont="1" applyFill="1" applyBorder="1" applyAlignment="1">
      <alignment horizontal="center"/>
    </xf>
    <xf numFmtId="0" fontId="8" fillId="6" borderId="10" xfId="0" applyFont="1" applyFill="1" applyBorder="1" applyAlignment="1">
      <alignment horizontal="center"/>
    </xf>
    <xf numFmtId="0" fontId="8" fillId="6" borderId="11" xfId="0" applyFont="1" applyFill="1" applyBorder="1" applyAlignment="1">
      <alignment horizontal="center"/>
    </xf>
    <xf numFmtId="44" fontId="16" fillId="0" borderId="0" xfId="0" applyNumberFormat="1" applyFont="1"/>
    <xf numFmtId="164" fontId="0" fillId="0" borderId="2" xfId="0" applyNumberFormat="1" applyBorder="1" applyAlignment="1">
      <alignment horizontal="center"/>
    </xf>
    <xf numFmtId="44" fontId="1" fillId="0" borderId="0" xfId="1" applyAlignment="1">
      <alignment horizontal="center" vertical="center" wrapText="1"/>
    </xf>
    <xf numFmtId="0" fontId="18" fillId="0" borderId="5" xfId="0" applyFont="1" applyBorder="1" applyAlignment="1">
      <alignment horizontal="center" vertical="center" wrapText="1"/>
    </xf>
    <xf numFmtId="0" fontId="19" fillId="6" borderId="12" xfId="0" applyFont="1" applyFill="1" applyBorder="1" applyAlignment="1">
      <alignment horizontal="center"/>
    </xf>
    <xf numFmtId="0" fontId="19" fillId="6" borderId="13" xfId="0" applyFont="1" applyFill="1" applyBorder="1" applyAlignment="1">
      <alignment horizontal="center"/>
    </xf>
    <xf numFmtId="0" fontId="19" fillId="6" borderId="14" xfId="0" applyFont="1" applyFill="1" applyBorder="1" applyAlignment="1">
      <alignment horizontal="center"/>
    </xf>
    <xf numFmtId="0" fontId="17" fillId="0" borderId="5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/>
    </xf>
    <xf numFmtId="0" fontId="20" fillId="6" borderId="17" xfId="0" applyFont="1" applyFill="1" applyBorder="1" applyAlignment="1">
      <alignment horizontal="center" vertical="center"/>
    </xf>
    <xf numFmtId="0" fontId="20" fillId="6" borderId="18" xfId="0" applyFont="1" applyFill="1" applyBorder="1" applyAlignment="1">
      <alignment horizontal="center" vertical="center"/>
    </xf>
    <xf numFmtId="0" fontId="20" fillId="6" borderId="19" xfId="0" applyFont="1" applyFill="1" applyBorder="1" applyAlignment="1">
      <alignment horizontal="center" vertical="center"/>
    </xf>
  </cellXfs>
  <cellStyles count="3">
    <cellStyle name="Monétaire" xfId="1" builtinId="4"/>
    <cellStyle name="Normal" xfId="0" builtinId="0"/>
    <cellStyle name="Normal_M00000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3" tint="0.59999389629810485"/>
  </sheetPr>
  <dimension ref="A3:G18"/>
  <sheetViews>
    <sheetView workbookViewId="0">
      <selection activeCell="C24" sqref="C24"/>
    </sheetView>
  </sheetViews>
  <sheetFormatPr baseColWidth="10" defaultRowHeight="12.75" x14ac:dyDescent="0.2"/>
  <cols>
    <col min="1" max="1" width="14.7109375" customWidth="1"/>
  </cols>
  <sheetData>
    <row r="3" spans="1:7" x14ac:dyDescent="0.2">
      <c r="A3" t="s">
        <v>166</v>
      </c>
      <c r="B3" t="s">
        <v>167</v>
      </c>
      <c r="G3" s="49" t="s">
        <v>169</v>
      </c>
    </row>
    <row r="4" spans="1:7" x14ac:dyDescent="0.2">
      <c r="A4" t="s">
        <v>168</v>
      </c>
    </row>
    <row r="5" spans="1:7" x14ac:dyDescent="0.2">
      <c r="A5" s="37" t="s">
        <v>158</v>
      </c>
      <c r="F5" t="s">
        <v>160</v>
      </c>
    </row>
    <row r="6" spans="1:7" ht="15.75" x14ac:dyDescent="0.25">
      <c r="F6" s="48" t="s">
        <v>161</v>
      </c>
    </row>
    <row r="7" spans="1:7" ht="15.75" x14ac:dyDescent="0.25">
      <c r="F7" s="48" t="s">
        <v>162</v>
      </c>
    </row>
    <row r="8" spans="1:7" x14ac:dyDescent="0.2">
      <c r="A8" t="s">
        <v>159</v>
      </c>
    </row>
    <row r="12" spans="1:7" ht="15.75" x14ac:dyDescent="0.25">
      <c r="A12" s="48"/>
    </row>
    <row r="13" spans="1:7" x14ac:dyDescent="0.2">
      <c r="A13" t="s">
        <v>163</v>
      </c>
    </row>
    <row r="15" spans="1:7" x14ac:dyDescent="0.2">
      <c r="A15" t="s">
        <v>164</v>
      </c>
    </row>
    <row r="18" spans="1:1" x14ac:dyDescent="0.2">
      <c r="A18" t="s">
        <v>165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3" tint="0.59999389629810485"/>
  </sheetPr>
  <dimension ref="A1:AI106"/>
  <sheetViews>
    <sheetView zoomScale="150" zoomScaleNormal="150" workbookViewId="0">
      <selection activeCell="D87" sqref="D87"/>
    </sheetView>
  </sheetViews>
  <sheetFormatPr baseColWidth="10" defaultColWidth="11.42578125" defaultRowHeight="13.5" x14ac:dyDescent="0.2"/>
  <cols>
    <col min="1" max="1" width="10" style="20" bestFit="1" customWidth="1"/>
    <col min="2" max="34" width="4" style="20" customWidth="1"/>
    <col min="35" max="16384" width="11.42578125" style="20"/>
  </cols>
  <sheetData>
    <row r="1" spans="1:35" x14ac:dyDescent="0.2">
      <c r="A1" s="32" t="s">
        <v>150</v>
      </c>
      <c r="D1" s="20">
        <v>75</v>
      </c>
      <c r="E1" s="20">
        <v>77</v>
      </c>
      <c r="F1" s="20">
        <v>78</v>
      </c>
      <c r="G1" s="20">
        <v>91</v>
      </c>
      <c r="H1" s="20">
        <v>92</v>
      </c>
      <c r="I1" s="20">
        <v>93</v>
      </c>
      <c r="J1" s="20">
        <v>94</v>
      </c>
      <c r="K1" s="20">
        <v>95</v>
      </c>
      <c r="AI1" s="19" t="s">
        <v>187</v>
      </c>
    </row>
    <row r="2" spans="1:35" ht="11.25" customHeight="1" x14ac:dyDescent="0.2">
      <c r="A2" s="17" t="s">
        <v>99</v>
      </c>
      <c r="B2" s="18" t="s">
        <v>100</v>
      </c>
      <c r="C2" s="18" t="s">
        <v>101</v>
      </c>
      <c r="D2" s="18" t="s">
        <v>102</v>
      </c>
      <c r="E2" s="18" t="s">
        <v>103</v>
      </c>
      <c r="F2" s="18" t="s">
        <v>104</v>
      </c>
      <c r="G2" s="18" t="s">
        <v>105</v>
      </c>
      <c r="H2" s="18" t="s">
        <v>106</v>
      </c>
      <c r="I2" s="18" t="s">
        <v>107</v>
      </c>
      <c r="J2" s="18" t="s">
        <v>108</v>
      </c>
      <c r="K2" s="18" t="s">
        <v>109</v>
      </c>
      <c r="L2" s="18" t="s">
        <v>110</v>
      </c>
      <c r="M2" s="18" t="s">
        <v>111</v>
      </c>
      <c r="N2" s="18" t="s">
        <v>112</v>
      </c>
      <c r="O2" s="18" t="s">
        <v>113</v>
      </c>
      <c r="P2" s="18" t="s">
        <v>114</v>
      </c>
      <c r="Q2" s="18" t="s">
        <v>115</v>
      </c>
      <c r="R2" s="18" t="s">
        <v>116</v>
      </c>
      <c r="S2" s="18" t="s">
        <v>117</v>
      </c>
      <c r="T2" s="18" t="s">
        <v>118</v>
      </c>
      <c r="U2" s="18" t="s">
        <v>119</v>
      </c>
      <c r="V2" s="18" t="s">
        <v>120</v>
      </c>
      <c r="W2" s="18" t="s">
        <v>121</v>
      </c>
      <c r="X2" s="18" t="s">
        <v>122</v>
      </c>
      <c r="Y2" s="18" t="s">
        <v>123</v>
      </c>
      <c r="Z2" s="18" t="s">
        <v>124</v>
      </c>
      <c r="AA2" s="18" t="s">
        <v>125</v>
      </c>
      <c r="AB2" s="18" t="s">
        <v>126</v>
      </c>
      <c r="AC2" s="18" t="s">
        <v>127</v>
      </c>
      <c r="AD2" s="18" t="s">
        <v>128</v>
      </c>
      <c r="AE2" s="18" t="s">
        <v>129</v>
      </c>
      <c r="AF2" s="18" t="s">
        <v>130</v>
      </c>
      <c r="AG2" s="18" t="s">
        <v>131</v>
      </c>
      <c r="AH2" s="18" t="s">
        <v>132</v>
      </c>
    </row>
    <row r="3" spans="1:35" ht="11.25" customHeight="1" x14ac:dyDescent="0.2">
      <c r="A3" s="21" t="s">
        <v>133</v>
      </c>
      <c r="B3" s="18">
        <v>0.4</v>
      </c>
      <c r="C3" s="18">
        <v>0.8</v>
      </c>
      <c r="D3" s="18">
        <v>1.2</v>
      </c>
      <c r="E3" s="18">
        <v>1.6</v>
      </c>
      <c r="F3" s="18">
        <v>2</v>
      </c>
      <c r="G3" s="18">
        <v>2.4</v>
      </c>
      <c r="H3" s="18">
        <v>2.8</v>
      </c>
      <c r="I3" s="18">
        <v>3.2</v>
      </c>
      <c r="J3" s="18">
        <v>3.6</v>
      </c>
      <c r="K3" s="18">
        <v>4</v>
      </c>
      <c r="L3" s="18">
        <v>4.4000000000000004</v>
      </c>
      <c r="M3" s="18">
        <v>4.8</v>
      </c>
      <c r="N3" s="18">
        <v>5.2</v>
      </c>
      <c r="O3" s="18">
        <v>5.6</v>
      </c>
      <c r="P3" s="18">
        <v>6</v>
      </c>
      <c r="Q3" s="18">
        <v>6.4</v>
      </c>
      <c r="R3" s="18">
        <v>6.8</v>
      </c>
      <c r="S3" s="18">
        <v>7.2</v>
      </c>
      <c r="T3" s="18">
        <v>7.6</v>
      </c>
      <c r="U3" s="18">
        <v>8</v>
      </c>
      <c r="V3" s="18">
        <v>8.4</v>
      </c>
      <c r="W3" s="18">
        <v>8.8000000000000007</v>
      </c>
      <c r="X3" s="18">
        <v>9.1999999999999993</v>
      </c>
      <c r="Y3" s="18">
        <v>9.6</v>
      </c>
      <c r="Z3" s="18">
        <v>10</v>
      </c>
      <c r="AA3" s="18">
        <v>10.4</v>
      </c>
      <c r="AB3" s="18">
        <v>10.8</v>
      </c>
      <c r="AC3" s="18">
        <v>11.2</v>
      </c>
      <c r="AD3" s="18">
        <v>11.6</v>
      </c>
      <c r="AE3" s="18">
        <v>12</v>
      </c>
      <c r="AF3" s="18">
        <v>12.4</v>
      </c>
      <c r="AG3" s="18">
        <v>12.8</v>
      </c>
      <c r="AH3" s="18">
        <v>13.4</v>
      </c>
    </row>
    <row r="4" spans="1:35" ht="11.25" customHeight="1" x14ac:dyDescent="0.2">
      <c r="A4" s="21" t="s">
        <v>134</v>
      </c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</row>
    <row r="5" spans="1:35" ht="11.25" customHeight="1" x14ac:dyDescent="0.2">
      <c r="A5" s="23">
        <v>1</v>
      </c>
      <c r="B5" s="24">
        <v>110.1</v>
      </c>
      <c r="C5" s="24">
        <v>165.68592767999999</v>
      </c>
      <c r="D5" s="24">
        <v>207.10740959999998</v>
      </c>
      <c r="E5" s="24">
        <v>253.13127839999999</v>
      </c>
      <c r="F5" s="24">
        <v>297.3</v>
      </c>
      <c r="G5" s="24">
        <v>330.8</v>
      </c>
      <c r="H5" s="24">
        <f>G5*1.02</f>
        <v>337.416</v>
      </c>
      <c r="I5" s="24">
        <f t="shared" ref="I5:X6" si="0">H5*1.02</f>
        <v>344.16431999999998</v>
      </c>
      <c r="J5" s="24">
        <f t="shared" si="0"/>
        <v>351.04760640000001</v>
      </c>
      <c r="K5" s="24">
        <f t="shared" si="0"/>
        <v>358.06855852800004</v>
      </c>
      <c r="L5" s="24">
        <f t="shared" si="0"/>
        <v>365.22992969856006</v>
      </c>
      <c r="M5" s="24">
        <f t="shared" si="0"/>
        <v>372.53452829253126</v>
      </c>
      <c r="N5" s="24">
        <f t="shared" si="0"/>
        <v>379.98521885838187</v>
      </c>
      <c r="O5" s="24">
        <f t="shared" si="0"/>
        <v>387.58492323554952</v>
      </c>
      <c r="P5" s="24">
        <f t="shared" si="0"/>
        <v>395.33662170026054</v>
      </c>
      <c r="Q5" s="24">
        <f t="shared" si="0"/>
        <v>403.24335413426576</v>
      </c>
      <c r="R5" s="24">
        <f>Q5*1.03</f>
        <v>415.34065475829374</v>
      </c>
      <c r="S5" s="24">
        <f t="shared" ref="S5:AH5" si="1">R5*1.03</f>
        <v>427.80087440104256</v>
      </c>
      <c r="T5" s="24">
        <f t="shared" si="1"/>
        <v>440.63490063307387</v>
      </c>
      <c r="U5" s="24">
        <f t="shared" si="1"/>
        <v>453.8539476520661</v>
      </c>
      <c r="V5" s="24">
        <f t="shared" si="1"/>
        <v>467.4695660816281</v>
      </c>
      <c r="W5" s="24">
        <f t="shared" si="1"/>
        <v>481.49365306407697</v>
      </c>
      <c r="X5" s="24">
        <f>W5*1.04</f>
        <v>500.75339918664008</v>
      </c>
      <c r="Y5" s="24">
        <f t="shared" ref="Y5:AH5" si="2">X5*1.04</f>
        <v>520.78353515410572</v>
      </c>
      <c r="Z5" s="24">
        <f t="shared" ref="Z5:AH5" si="3">Y5*1.04</f>
        <v>541.61487656026998</v>
      </c>
      <c r="AA5" s="24">
        <f t="shared" si="3"/>
        <v>563.27947162268083</v>
      </c>
      <c r="AB5" s="24">
        <f t="shared" si="3"/>
        <v>585.81065048758808</v>
      </c>
      <c r="AC5" s="24">
        <f t="shared" si="3"/>
        <v>609.24307650709159</v>
      </c>
      <c r="AD5" s="24">
        <f t="shared" si="3"/>
        <v>633.6127995673753</v>
      </c>
      <c r="AE5" s="24">
        <f t="shared" si="3"/>
        <v>658.95731155007036</v>
      </c>
      <c r="AF5" s="24">
        <f t="shared" si="3"/>
        <v>685.31560401207321</v>
      </c>
      <c r="AG5" s="24">
        <f t="shared" si="3"/>
        <v>712.72822817255621</v>
      </c>
      <c r="AH5" s="24">
        <f t="shared" si="3"/>
        <v>741.23735729945849</v>
      </c>
    </row>
    <row r="6" spans="1:35" ht="11.25" customHeight="1" x14ac:dyDescent="0.2">
      <c r="A6" s="25" t="s">
        <v>135</v>
      </c>
      <c r="B6" s="24">
        <v>87.2</v>
      </c>
      <c r="C6" s="24">
        <v>120.86099999999999</v>
      </c>
      <c r="D6" s="24">
        <v>143.58699999999999</v>
      </c>
      <c r="E6" s="24">
        <v>181.80799999999999</v>
      </c>
      <c r="F6" s="24">
        <v>227.3</v>
      </c>
      <c r="G6" s="24">
        <v>257.5</v>
      </c>
      <c r="H6" s="24">
        <f>G6*1.02</f>
        <v>262.64999999999998</v>
      </c>
      <c r="I6" s="24">
        <f t="shared" ref="I6:AG16" si="4">H6*1.02</f>
        <v>267.90299999999996</v>
      </c>
      <c r="J6" s="24">
        <f t="shared" si="4"/>
        <v>273.26105999999999</v>
      </c>
      <c r="K6" s="24">
        <f t="shared" si="4"/>
        <v>278.72628120000002</v>
      </c>
      <c r="L6" s="24">
        <f t="shared" si="4"/>
        <v>284.30080682400001</v>
      </c>
      <c r="M6" s="24">
        <f t="shared" si="4"/>
        <v>289.98682296048003</v>
      </c>
      <c r="N6" s="24">
        <f t="shared" si="4"/>
        <v>295.78655941968964</v>
      </c>
      <c r="O6" s="24">
        <f t="shared" si="4"/>
        <v>301.70229060808344</v>
      </c>
      <c r="P6" s="24">
        <f t="shared" si="4"/>
        <v>307.7363364202451</v>
      </c>
      <c r="Q6" s="24">
        <f t="shared" si="4"/>
        <v>313.89106314865001</v>
      </c>
      <c r="R6" s="24">
        <f t="shared" si="4"/>
        <v>320.16888441162303</v>
      </c>
      <c r="S6" s="24">
        <f t="shared" si="4"/>
        <v>326.57226209985549</v>
      </c>
      <c r="T6" s="24">
        <f t="shared" si="4"/>
        <v>333.10370734185261</v>
      </c>
      <c r="U6" s="24">
        <f t="shared" si="4"/>
        <v>339.7657814886897</v>
      </c>
      <c r="V6" s="24">
        <f t="shared" si="4"/>
        <v>346.56109711846352</v>
      </c>
      <c r="W6" s="24">
        <f t="shared" si="4"/>
        <v>353.49231906083281</v>
      </c>
      <c r="X6" s="24">
        <f t="shared" si="4"/>
        <v>360.56216544204949</v>
      </c>
      <c r="Y6" s="24">
        <f t="shared" ref="Y6:AG6" si="5">X6*1.04</f>
        <v>374.9846520597315</v>
      </c>
      <c r="Z6" s="24">
        <f t="shared" si="5"/>
        <v>389.98403814212077</v>
      </c>
      <c r="AA6" s="24">
        <f t="shared" si="5"/>
        <v>405.58339966780562</v>
      </c>
      <c r="AB6" s="24">
        <f t="shared" si="5"/>
        <v>421.80673565451787</v>
      </c>
      <c r="AC6" s="24">
        <f t="shared" si="5"/>
        <v>438.67900508069857</v>
      </c>
      <c r="AD6" s="24">
        <f t="shared" si="5"/>
        <v>456.22616528392655</v>
      </c>
      <c r="AE6" s="24">
        <f t="shared" si="5"/>
        <v>474.47521189528362</v>
      </c>
      <c r="AF6" s="24">
        <f t="shared" si="5"/>
        <v>493.454220371095</v>
      </c>
      <c r="AG6" s="24">
        <f t="shared" si="5"/>
        <v>513.19238918593885</v>
      </c>
      <c r="AH6" s="24">
        <f t="shared" ref="AH6" si="6">AG6*1.04</f>
        <v>533.72008475337645</v>
      </c>
    </row>
    <row r="7" spans="1:35" ht="11.25" customHeight="1" x14ac:dyDescent="0.2">
      <c r="A7" s="25" t="s">
        <v>136</v>
      </c>
      <c r="B7" s="24">
        <v>85.2</v>
      </c>
      <c r="C7" s="24">
        <v>141.30000000000001</v>
      </c>
      <c r="D7" s="24">
        <v>176.7</v>
      </c>
      <c r="E7" s="24">
        <v>198.7</v>
      </c>
      <c r="F7" s="24">
        <v>228.5</v>
      </c>
      <c r="G7" s="24">
        <v>255</v>
      </c>
      <c r="H7" s="24">
        <f t="shared" ref="H7:W25" si="7">G7*1.02</f>
        <v>260.10000000000002</v>
      </c>
      <c r="I7" s="24">
        <f t="shared" si="7"/>
        <v>265.30200000000002</v>
      </c>
      <c r="J7" s="24">
        <f t="shared" si="7"/>
        <v>270.60804000000002</v>
      </c>
      <c r="K7" s="24">
        <f t="shared" si="7"/>
        <v>276.0202008</v>
      </c>
      <c r="L7" s="24">
        <f t="shared" si="7"/>
        <v>281.54060481599998</v>
      </c>
      <c r="M7" s="24">
        <f t="shared" si="7"/>
        <v>287.17141691232001</v>
      </c>
      <c r="N7" s="24">
        <f t="shared" si="7"/>
        <v>292.91484525056643</v>
      </c>
      <c r="O7" s="24">
        <f t="shared" si="7"/>
        <v>298.77314215557777</v>
      </c>
      <c r="P7" s="24">
        <f t="shared" si="7"/>
        <v>304.74860499868936</v>
      </c>
      <c r="Q7" s="24">
        <f t="shared" si="7"/>
        <v>310.84357709866316</v>
      </c>
      <c r="R7" s="24">
        <f t="shared" si="7"/>
        <v>317.06044864063642</v>
      </c>
      <c r="S7" s="24">
        <f t="shared" si="7"/>
        <v>323.40165761344917</v>
      </c>
      <c r="T7" s="24">
        <f t="shared" si="7"/>
        <v>329.86969076571819</v>
      </c>
      <c r="U7" s="24">
        <f t="shared" si="7"/>
        <v>336.46708458103257</v>
      </c>
      <c r="V7" s="24">
        <f t="shared" si="7"/>
        <v>343.19642627265324</v>
      </c>
      <c r="W7" s="24">
        <f t="shared" si="7"/>
        <v>350.06035479810629</v>
      </c>
      <c r="X7" s="24">
        <f t="shared" si="4"/>
        <v>357.0615618940684</v>
      </c>
      <c r="Y7" s="24">
        <f t="shared" ref="Y7:AG7" si="8">X7*1.04</f>
        <v>371.34402436983117</v>
      </c>
      <c r="Z7" s="24">
        <f t="shared" si="8"/>
        <v>386.19778534462444</v>
      </c>
      <c r="AA7" s="24">
        <f t="shared" si="8"/>
        <v>401.64569675840943</v>
      </c>
      <c r="AB7" s="24">
        <f t="shared" si="8"/>
        <v>417.71152462874579</v>
      </c>
      <c r="AC7" s="24">
        <f t="shared" si="8"/>
        <v>434.41998561389562</v>
      </c>
      <c r="AD7" s="24">
        <f t="shared" si="8"/>
        <v>451.79678503845145</v>
      </c>
      <c r="AE7" s="24">
        <f t="shared" si="8"/>
        <v>469.86865643998954</v>
      </c>
      <c r="AF7" s="24">
        <f t="shared" si="8"/>
        <v>488.66340269758911</v>
      </c>
      <c r="AG7" s="24">
        <f t="shared" si="8"/>
        <v>508.2099388054927</v>
      </c>
      <c r="AH7" s="24">
        <f t="shared" ref="AH7" si="9">AG7*1.04</f>
        <v>528.53833635771241</v>
      </c>
    </row>
    <row r="8" spans="1:35" ht="11.25" customHeight="1" x14ac:dyDescent="0.2">
      <c r="A8" s="25" t="s">
        <v>137</v>
      </c>
      <c r="B8" s="24">
        <v>124.2</v>
      </c>
      <c r="C8" s="24">
        <v>208.9</v>
      </c>
      <c r="D8" s="24">
        <v>270.10000000000002</v>
      </c>
      <c r="E8" s="24">
        <v>310.39999999999998</v>
      </c>
      <c r="F8" s="24">
        <v>362.2</v>
      </c>
      <c r="G8" s="24">
        <v>404.7</v>
      </c>
      <c r="H8" s="24">
        <f t="shared" si="7"/>
        <v>412.79399999999998</v>
      </c>
      <c r="I8" s="24">
        <f t="shared" si="4"/>
        <v>421.04987999999997</v>
      </c>
      <c r="J8" s="24">
        <f t="shared" si="4"/>
        <v>429.47087759999999</v>
      </c>
      <c r="K8" s="24">
        <f t="shared" si="4"/>
        <v>438.06029515199998</v>
      </c>
      <c r="L8" s="24">
        <f t="shared" si="4"/>
        <v>446.82150105503996</v>
      </c>
      <c r="M8" s="24">
        <f t="shared" si="4"/>
        <v>455.75793107614078</v>
      </c>
      <c r="N8" s="24">
        <f t="shared" si="4"/>
        <v>464.8730896976636</v>
      </c>
      <c r="O8" s="24">
        <f t="shared" si="4"/>
        <v>474.17055149161689</v>
      </c>
      <c r="P8" s="24">
        <f t="shared" si="4"/>
        <v>483.65396252144922</v>
      </c>
      <c r="Q8" s="24">
        <f t="shared" si="4"/>
        <v>493.32704177187821</v>
      </c>
      <c r="R8" s="24">
        <f t="shared" si="4"/>
        <v>503.19358260731576</v>
      </c>
      <c r="S8" s="24">
        <f t="shared" si="4"/>
        <v>513.25745425946207</v>
      </c>
      <c r="T8" s="24">
        <f t="shared" si="4"/>
        <v>523.52260334465132</v>
      </c>
      <c r="U8" s="24">
        <f t="shared" si="4"/>
        <v>533.99305541154433</v>
      </c>
      <c r="V8" s="24">
        <f t="shared" si="4"/>
        <v>544.67291651977519</v>
      </c>
      <c r="W8" s="24">
        <f t="shared" si="4"/>
        <v>555.56637485017075</v>
      </c>
      <c r="X8" s="24">
        <f t="shared" si="4"/>
        <v>566.6777023471742</v>
      </c>
      <c r="Y8" s="24">
        <f t="shared" ref="Y8:AG8" si="10">X8*1.04</f>
        <v>589.34481044106121</v>
      </c>
      <c r="Z8" s="24">
        <f t="shared" si="10"/>
        <v>612.91860285870371</v>
      </c>
      <c r="AA8" s="24">
        <f t="shared" si="10"/>
        <v>637.43534697305188</v>
      </c>
      <c r="AB8" s="24">
        <f t="shared" si="10"/>
        <v>662.93276085197397</v>
      </c>
      <c r="AC8" s="24">
        <f t="shared" si="10"/>
        <v>689.450071286053</v>
      </c>
      <c r="AD8" s="24">
        <f t="shared" si="10"/>
        <v>717.0280741374952</v>
      </c>
      <c r="AE8" s="24">
        <f t="shared" si="10"/>
        <v>745.70919710299506</v>
      </c>
      <c r="AF8" s="24">
        <f t="shared" si="10"/>
        <v>775.53756498711493</v>
      </c>
      <c r="AG8" s="24">
        <f t="shared" si="10"/>
        <v>806.55906758659955</v>
      </c>
      <c r="AH8" s="24">
        <f t="shared" ref="AH8" si="11">AG8*1.04</f>
        <v>838.82143029006352</v>
      </c>
    </row>
    <row r="9" spans="1:35" ht="11.25" customHeight="1" x14ac:dyDescent="0.2">
      <c r="A9" s="25" t="s">
        <v>138</v>
      </c>
      <c r="B9" s="24">
        <v>132.9</v>
      </c>
      <c r="C9" s="24">
        <v>207.8</v>
      </c>
      <c r="D9" s="24">
        <v>273.89999999999998</v>
      </c>
      <c r="E9" s="24">
        <v>305.80538512293577</v>
      </c>
      <c r="F9" s="24">
        <v>377.9</v>
      </c>
      <c r="G9" s="24">
        <v>421.6</v>
      </c>
      <c r="H9" s="24">
        <f t="shared" si="7"/>
        <v>430.03200000000004</v>
      </c>
      <c r="I9" s="24">
        <f t="shared" si="4"/>
        <v>438.63264000000004</v>
      </c>
      <c r="J9" s="24">
        <f t="shared" si="4"/>
        <v>447.40529280000004</v>
      </c>
      <c r="K9" s="24">
        <f t="shared" si="4"/>
        <v>456.35339865600002</v>
      </c>
      <c r="L9" s="24">
        <f t="shared" si="4"/>
        <v>465.48046662912003</v>
      </c>
      <c r="M9" s="24">
        <f t="shared" si="4"/>
        <v>474.79007596170243</v>
      </c>
      <c r="N9" s="24">
        <f t="shared" si="4"/>
        <v>484.28587748093651</v>
      </c>
      <c r="O9" s="24">
        <f t="shared" si="4"/>
        <v>493.97159503055525</v>
      </c>
      <c r="P9" s="24">
        <f t="shared" si="4"/>
        <v>503.85102693116636</v>
      </c>
      <c r="Q9" s="24">
        <f t="shared" si="4"/>
        <v>513.9280474697897</v>
      </c>
      <c r="R9" s="24">
        <f t="shared" si="4"/>
        <v>524.2066084191855</v>
      </c>
      <c r="S9" s="24">
        <f t="shared" si="4"/>
        <v>534.69074058756917</v>
      </c>
      <c r="T9" s="24">
        <f t="shared" si="4"/>
        <v>545.38455539932056</v>
      </c>
      <c r="U9" s="24">
        <f t="shared" si="4"/>
        <v>556.29224650730703</v>
      </c>
      <c r="V9" s="24">
        <f t="shared" si="4"/>
        <v>567.4180914374532</v>
      </c>
      <c r="W9" s="24">
        <f t="shared" si="4"/>
        <v>578.76645326620223</v>
      </c>
      <c r="X9" s="24">
        <f t="shared" si="4"/>
        <v>590.34178233152625</v>
      </c>
      <c r="Y9" s="24">
        <f t="shared" ref="Y9:AG9" si="12">X9*1.04</f>
        <v>613.95545362478731</v>
      </c>
      <c r="Z9" s="24">
        <f t="shared" si="12"/>
        <v>638.51367176977885</v>
      </c>
      <c r="AA9" s="24">
        <f t="shared" si="12"/>
        <v>664.05421864057007</v>
      </c>
      <c r="AB9" s="24">
        <f t="shared" si="12"/>
        <v>690.61638738619286</v>
      </c>
      <c r="AC9" s="24">
        <f t="shared" si="12"/>
        <v>718.24104288164062</v>
      </c>
      <c r="AD9" s="24">
        <f t="shared" si="12"/>
        <v>746.97068459690627</v>
      </c>
      <c r="AE9" s="24">
        <f t="shared" si="12"/>
        <v>776.84951198078249</v>
      </c>
      <c r="AF9" s="24">
        <f t="shared" si="12"/>
        <v>807.92349246001379</v>
      </c>
      <c r="AG9" s="24">
        <f t="shared" si="12"/>
        <v>840.24043215841436</v>
      </c>
      <c r="AH9" s="24">
        <f t="shared" ref="AH9" si="13">AG9*1.04</f>
        <v>873.85004944475099</v>
      </c>
    </row>
    <row r="10" spans="1:35" ht="11.25" customHeight="1" x14ac:dyDescent="0.2">
      <c r="A10" s="25" t="s">
        <v>139</v>
      </c>
      <c r="B10" s="24">
        <v>146.6</v>
      </c>
      <c r="C10" s="24">
        <v>250.7</v>
      </c>
      <c r="D10" s="24">
        <v>321.49025999999998</v>
      </c>
      <c r="E10" s="24">
        <v>369.1</v>
      </c>
      <c r="F10" s="24">
        <v>432.6</v>
      </c>
      <c r="G10" s="24">
        <v>484.6</v>
      </c>
      <c r="H10" s="24">
        <f t="shared" si="7"/>
        <v>494.29200000000003</v>
      </c>
      <c r="I10" s="24">
        <f t="shared" si="4"/>
        <v>504.17784000000006</v>
      </c>
      <c r="J10" s="24">
        <f t="shared" si="4"/>
        <v>514.26139680000006</v>
      </c>
      <c r="K10" s="24">
        <f t="shared" si="4"/>
        <v>524.54662473600001</v>
      </c>
      <c r="L10" s="24">
        <f t="shared" si="4"/>
        <v>535.03755723072004</v>
      </c>
      <c r="M10" s="24">
        <f t="shared" si="4"/>
        <v>545.73830837533444</v>
      </c>
      <c r="N10" s="24">
        <f t="shared" si="4"/>
        <v>556.65307454284118</v>
      </c>
      <c r="O10" s="24">
        <f t="shared" si="4"/>
        <v>567.78613603369797</v>
      </c>
      <c r="P10" s="24">
        <f t="shared" si="4"/>
        <v>579.14185875437192</v>
      </c>
      <c r="Q10" s="24">
        <f t="shared" si="4"/>
        <v>590.72469592945936</v>
      </c>
      <c r="R10" s="24">
        <f t="shared" si="4"/>
        <v>602.53918984804852</v>
      </c>
      <c r="S10" s="24">
        <f t="shared" si="4"/>
        <v>614.58997364500954</v>
      </c>
      <c r="T10" s="24">
        <f t="shared" si="4"/>
        <v>626.88177311790969</v>
      </c>
      <c r="U10" s="24">
        <f t="shared" si="4"/>
        <v>639.41940858026794</v>
      </c>
      <c r="V10" s="24">
        <f t="shared" si="4"/>
        <v>652.20779675187327</v>
      </c>
      <c r="W10" s="24">
        <f t="shared" si="4"/>
        <v>665.25195268691073</v>
      </c>
      <c r="X10" s="24">
        <f t="shared" si="4"/>
        <v>678.55699174064898</v>
      </c>
      <c r="Y10" s="24">
        <f t="shared" ref="Y10:AG10" si="14">X10*1.04</f>
        <v>705.69927141027495</v>
      </c>
      <c r="Z10" s="24">
        <f t="shared" si="14"/>
        <v>733.92724226668599</v>
      </c>
      <c r="AA10" s="24">
        <f t="shared" si="14"/>
        <v>763.28433195735352</v>
      </c>
      <c r="AB10" s="24">
        <f t="shared" si="14"/>
        <v>793.81570523564767</v>
      </c>
      <c r="AC10" s="24">
        <f t="shared" si="14"/>
        <v>825.56833344507356</v>
      </c>
      <c r="AD10" s="24">
        <f t="shared" si="14"/>
        <v>858.59106678287651</v>
      </c>
      <c r="AE10" s="24">
        <f t="shared" si="14"/>
        <v>892.93470945419165</v>
      </c>
      <c r="AF10" s="24">
        <f t="shared" si="14"/>
        <v>928.65209783235935</v>
      </c>
      <c r="AG10" s="24">
        <f t="shared" si="14"/>
        <v>965.79818174565378</v>
      </c>
      <c r="AH10" s="24">
        <f t="shared" ref="AH10" si="15">AG10*1.04</f>
        <v>1004.43010901548</v>
      </c>
    </row>
    <row r="11" spans="1:35" ht="11.25" customHeight="1" x14ac:dyDescent="0.2">
      <c r="A11" s="25" t="s">
        <v>140</v>
      </c>
      <c r="B11" s="24">
        <v>110</v>
      </c>
      <c r="C11" s="24">
        <v>183.4</v>
      </c>
      <c r="D11" s="24">
        <v>231.2</v>
      </c>
      <c r="E11" s="24">
        <v>257.7</v>
      </c>
      <c r="F11" s="24">
        <v>297.10000000000002</v>
      </c>
      <c r="G11" s="24">
        <v>330.6</v>
      </c>
      <c r="H11" s="24">
        <f t="shared" si="7"/>
        <v>337.21200000000005</v>
      </c>
      <c r="I11" s="24">
        <f t="shared" si="4"/>
        <v>343.95624000000004</v>
      </c>
      <c r="J11" s="24">
        <f t="shared" si="4"/>
        <v>350.83536480000004</v>
      </c>
      <c r="K11" s="24">
        <f t="shared" si="4"/>
        <v>357.85207209600003</v>
      </c>
      <c r="L11" s="24">
        <f t="shared" si="4"/>
        <v>365.00911353792003</v>
      </c>
      <c r="M11" s="24">
        <f t="shared" si="4"/>
        <v>372.30929580867843</v>
      </c>
      <c r="N11" s="24">
        <f t="shared" si="4"/>
        <v>379.75548172485202</v>
      </c>
      <c r="O11" s="24">
        <f t="shared" si="4"/>
        <v>387.35059135934904</v>
      </c>
      <c r="P11" s="24">
        <f t="shared" si="4"/>
        <v>395.09760318653605</v>
      </c>
      <c r="Q11" s="24">
        <f t="shared" si="4"/>
        <v>402.99955525026678</v>
      </c>
      <c r="R11" s="24">
        <f t="shared" si="4"/>
        <v>411.05954635527212</v>
      </c>
      <c r="S11" s="24">
        <f t="shared" si="4"/>
        <v>419.28073728237757</v>
      </c>
      <c r="T11" s="24">
        <f t="shared" si="4"/>
        <v>427.66635202802513</v>
      </c>
      <c r="U11" s="24">
        <f t="shared" si="4"/>
        <v>436.21967906858566</v>
      </c>
      <c r="V11" s="24">
        <f t="shared" si="4"/>
        <v>444.94407264995738</v>
      </c>
      <c r="W11" s="24">
        <f t="shared" si="4"/>
        <v>453.84295410295653</v>
      </c>
      <c r="X11" s="24">
        <f t="shared" si="4"/>
        <v>462.91981318501564</v>
      </c>
      <c r="Y11" s="24">
        <f t="shared" ref="Y11:AG11" si="16">X11*1.04</f>
        <v>481.43660571241628</v>
      </c>
      <c r="Z11" s="24">
        <f t="shared" si="16"/>
        <v>500.69406994091293</v>
      </c>
      <c r="AA11" s="24">
        <f t="shared" si="16"/>
        <v>520.72183273854944</v>
      </c>
      <c r="AB11" s="24">
        <f t="shared" si="16"/>
        <v>541.55070604809146</v>
      </c>
      <c r="AC11" s="24">
        <f t="shared" si="16"/>
        <v>563.21273429001508</v>
      </c>
      <c r="AD11" s="24">
        <f t="shared" si="16"/>
        <v>585.74124366161573</v>
      </c>
      <c r="AE11" s="24">
        <f t="shared" si="16"/>
        <v>609.17089340808036</v>
      </c>
      <c r="AF11" s="24">
        <f t="shared" si="16"/>
        <v>633.53772914440356</v>
      </c>
      <c r="AG11" s="24">
        <f t="shared" si="16"/>
        <v>658.87923831017974</v>
      </c>
      <c r="AH11" s="24">
        <f t="shared" ref="AH11" si="17">AG11*1.04</f>
        <v>685.23440784258696</v>
      </c>
    </row>
    <row r="12" spans="1:35" ht="11.25" customHeight="1" x14ac:dyDescent="0.2">
      <c r="A12" s="25" t="s">
        <v>141</v>
      </c>
      <c r="B12" s="24">
        <v>95.9</v>
      </c>
      <c r="C12" s="24">
        <v>138.83519999999999</v>
      </c>
      <c r="D12" s="24">
        <v>168.12074999999999</v>
      </c>
      <c r="E12" s="24">
        <v>218.7</v>
      </c>
      <c r="F12" s="24">
        <v>250.7</v>
      </c>
      <c r="G12" s="24">
        <v>279.10000000000002</v>
      </c>
      <c r="H12" s="24">
        <f t="shared" si="7"/>
        <v>284.68200000000002</v>
      </c>
      <c r="I12" s="24">
        <f t="shared" si="4"/>
        <v>290.37564000000003</v>
      </c>
      <c r="J12" s="24">
        <f t="shared" si="4"/>
        <v>296.18315280000002</v>
      </c>
      <c r="K12" s="24">
        <f t="shared" si="4"/>
        <v>302.10681585600003</v>
      </c>
      <c r="L12" s="24">
        <f t="shared" si="4"/>
        <v>308.14895217312005</v>
      </c>
      <c r="M12" s="24">
        <f t="shared" si="4"/>
        <v>314.31193121658248</v>
      </c>
      <c r="N12" s="24">
        <f t="shared" si="4"/>
        <v>320.59816984091412</v>
      </c>
      <c r="O12" s="24">
        <f t="shared" si="4"/>
        <v>327.01013323773242</v>
      </c>
      <c r="P12" s="24">
        <f t="shared" si="4"/>
        <v>333.55033590248706</v>
      </c>
      <c r="Q12" s="24">
        <f t="shared" si="4"/>
        <v>340.2213426205368</v>
      </c>
      <c r="R12" s="24">
        <f t="shared" si="4"/>
        <v>347.02576947294756</v>
      </c>
      <c r="S12" s="24">
        <f t="shared" si="4"/>
        <v>353.9662848624065</v>
      </c>
      <c r="T12" s="24">
        <f t="shared" si="4"/>
        <v>361.04561055965462</v>
      </c>
      <c r="U12" s="24">
        <f t="shared" si="4"/>
        <v>368.2665227708477</v>
      </c>
      <c r="V12" s="24">
        <f t="shared" si="4"/>
        <v>375.63185322626464</v>
      </c>
      <c r="W12" s="24">
        <f t="shared" si="4"/>
        <v>383.14449029078992</v>
      </c>
      <c r="X12" s="24">
        <f t="shared" si="4"/>
        <v>390.8073800966057</v>
      </c>
      <c r="Y12" s="24">
        <f t="shared" ref="Y12:AG12" si="18">X12*1.04</f>
        <v>406.43967530046996</v>
      </c>
      <c r="Z12" s="24">
        <f t="shared" si="18"/>
        <v>422.69726231248876</v>
      </c>
      <c r="AA12" s="24">
        <f t="shared" si="18"/>
        <v>439.60515280498834</v>
      </c>
      <c r="AB12" s="24">
        <f t="shared" si="18"/>
        <v>457.18935891718786</v>
      </c>
      <c r="AC12" s="24">
        <f t="shared" si="18"/>
        <v>475.47693327387537</v>
      </c>
      <c r="AD12" s="24">
        <f t="shared" si="18"/>
        <v>494.49601060483042</v>
      </c>
      <c r="AE12" s="24">
        <f t="shared" si="18"/>
        <v>514.27585102902367</v>
      </c>
      <c r="AF12" s="24">
        <f t="shared" si="18"/>
        <v>534.84688507018461</v>
      </c>
      <c r="AG12" s="24">
        <f t="shared" si="18"/>
        <v>556.24076047299206</v>
      </c>
      <c r="AH12" s="24">
        <f t="shared" ref="AH12" si="19">AG12*1.04</f>
        <v>578.49039089191172</v>
      </c>
    </row>
    <row r="13" spans="1:35" ht="11.25" customHeight="1" x14ac:dyDescent="0.2">
      <c r="A13" s="25" t="s">
        <v>142</v>
      </c>
      <c r="B13" s="24">
        <v>126.3</v>
      </c>
      <c r="C13" s="24">
        <v>191</v>
      </c>
      <c r="D13" s="24">
        <v>254</v>
      </c>
      <c r="E13" s="24">
        <v>302</v>
      </c>
      <c r="F13" s="24">
        <v>361</v>
      </c>
      <c r="G13" s="24">
        <v>412.1</v>
      </c>
      <c r="H13" s="24">
        <f t="shared" si="7"/>
        <v>420.34200000000004</v>
      </c>
      <c r="I13" s="24">
        <f t="shared" si="4"/>
        <v>428.74884000000003</v>
      </c>
      <c r="J13" s="24">
        <f t="shared" si="4"/>
        <v>437.32381680000003</v>
      </c>
      <c r="K13" s="24">
        <f t="shared" si="4"/>
        <v>446.07029313600003</v>
      </c>
      <c r="L13" s="24">
        <f t="shared" si="4"/>
        <v>454.99169899872004</v>
      </c>
      <c r="M13" s="24">
        <f t="shared" si="4"/>
        <v>464.09153297869443</v>
      </c>
      <c r="N13" s="24">
        <f t="shared" si="4"/>
        <v>473.3733636382683</v>
      </c>
      <c r="O13" s="24">
        <f t="shared" si="4"/>
        <v>482.84083091103366</v>
      </c>
      <c r="P13" s="24">
        <f t="shared" si="4"/>
        <v>492.49764752925432</v>
      </c>
      <c r="Q13" s="24">
        <f t="shared" si="4"/>
        <v>502.3476004798394</v>
      </c>
      <c r="R13" s="24">
        <f t="shared" si="4"/>
        <v>512.39455248943625</v>
      </c>
      <c r="S13" s="24">
        <f t="shared" si="4"/>
        <v>522.64244353922504</v>
      </c>
      <c r="T13" s="24">
        <f t="shared" si="4"/>
        <v>533.09529241000951</v>
      </c>
      <c r="U13" s="24">
        <f t="shared" si="4"/>
        <v>543.75719825820966</v>
      </c>
      <c r="V13" s="24">
        <f t="shared" si="4"/>
        <v>554.63234222337383</v>
      </c>
      <c r="W13" s="24">
        <f t="shared" si="4"/>
        <v>565.72498906784131</v>
      </c>
      <c r="X13" s="24">
        <f t="shared" si="4"/>
        <v>577.03948884919816</v>
      </c>
      <c r="Y13" s="24">
        <f t="shared" ref="Y13:AG13" si="20">X13*1.04</f>
        <v>600.12106840316608</v>
      </c>
      <c r="Z13" s="24">
        <f t="shared" si="20"/>
        <v>624.12591113929273</v>
      </c>
      <c r="AA13" s="24">
        <f t="shared" si="20"/>
        <v>649.09094758486447</v>
      </c>
      <c r="AB13" s="24">
        <f t="shared" si="20"/>
        <v>675.05458548825902</v>
      </c>
      <c r="AC13" s="24">
        <f t="shared" si="20"/>
        <v>702.05676890778943</v>
      </c>
      <c r="AD13" s="24">
        <f t="shared" si="20"/>
        <v>730.13903966410101</v>
      </c>
      <c r="AE13" s="24">
        <f t="shared" si="20"/>
        <v>759.34460125066505</v>
      </c>
      <c r="AF13" s="24">
        <f t="shared" si="20"/>
        <v>789.71838530069169</v>
      </c>
      <c r="AG13" s="24">
        <f t="shared" si="20"/>
        <v>821.30712071271944</v>
      </c>
      <c r="AH13" s="24">
        <f t="shared" ref="AH13" si="21">AG13*1.04</f>
        <v>854.15940554122824</v>
      </c>
    </row>
    <row r="14" spans="1:35" ht="11.25" customHeight="1" x14ac:dyDescent="0.2">
      <c r="A14" s="25" t="s">
        <v>109</v>
      </c>
      <c r="B14" s="24">
        <v>89.4</v>
      </c>
      <c r="C14" s="24">
        <v>124.73474999999999</v>
      </c>
      <c r="D14" s="24">
        <v>157.27424999999999</v>
      </c>
      <c r="E14" s="24">
        <v>200.7</v>
      </c>
      <c r="F14" s="24">
        <v>229.2</v>
      </c>
      <c r="G14" s="24">
        <v>255.4</v>
      </c>
      <c r="H14" s="24">
        <f t="shared" si="7"/>
        <v>260.50800000000004</v>
      </c>
      <c r="I14" s="24">
        <f t="shared" si="4"/>
        <v>265.71816000000007</v>
      </c>
      <c r="J14" s="24">
        <f t="shared" si="4"/>
        <v>271.03252320000007</v>
      </c>
      <c r="K14" s="24">
        <f t="shared" si="4"/>
        <v>276.45317366400008</v>
      </c>
      <c r="L14" s="24">
        <f t="shared" si="4"/>
        <v>281.98223713728009</v>
      </c>
      <c r="M14" s="24">
        <f t="shared" si="4"/>
        <v>287.62188188002568</v>
      </c>
      <c r="N14" s="24">
        <f t="shared" si="4"/>
        <v>293.37431951762619</v>
      </c>
      <c r="O14" s="24">
        <f t="shared" si="4"/>
        <v>299.24180590797874</v>
      </c>
      <c r="P14" s="24">
        <f t="shared" si="4"/>
        <v>305.22664202613834</v>
      </c>
      <c r="Q14" s="24">
        <f t="shared" si="4"/>
        <v>311.33117486666112</v>
      </c>
      <c r="R14" s="24">
        <f t="shared" si="4"/>
        <v>317.55779836399432</v>
      </c>
      <c r="S14" s="24">
        <f t="shared" si="4"/>
        <v>323.90895433127423</v>
      </c>
      <c r="T14" s="24">
        <f t="shared" si="4"/>
        <v>330.38713341789975</v>
      </c>
      <c r="U14" s="24">
        <f t="shared" si="4"/>
        <v>336.99487608625776</v>
      </c>
      <c r="V14" s="24">
        <f t="shared" si="4"/>
        <v>343.7347736079829</v>
      </c>
      <c r="W14" s="24">
        <f t="shared" si="4"/>
        <v>350.60946908014256</v>
      </c>
      <c r="X14" s="24">
        <f t="shared" si="4"/>
        <v>357.62165846174543</v>
      </c>
      <c r="Y14" s="24">
        <f t="shared" ref="Y14:AG14" si="22">X14*1.04</f>
        <v>371.92652480021525</v>
      </c>
      <c r="Z14" s="24">
        <f t="shared" si="22"/>
        <v>386.80358579222388</v>
      </c>
      <c r="AA14" s="24">
        <f t="shared" si="22"/>
        <v>402.27572922391283</v>
      </c>
      <c r="AB14" s="24">
        <f t="shared" si="22"/>
        <v>418.36675839286937</v>
      </c>
      <c r="AC14" s="24">
        <f t="shared" si="22"/>
        <v>435.10142872858415</v>
      </c>
      <c r="AD14" s="24">
        <f t="shared" si="22"/>
        <v>452.50548587772755</v>
      </c>
      <c r="AE14" s="24">
        <f t="shared" si="22"/>
        <v>470.60570531283668</v>
      </c>
      <c r="AF14" s="24">
        <f t="shared" si="22"/>
        <v>489.42993352535018</v>
      </c>
      <c r="AG14" s="24">
        <f t="shared" si="22"/>
        <v>509.00713086636421</v>
      </c>
      <c r="AH14" s="24">
        <f t="shared" ref="AH14" si="23">AG14*1.04</f>
        <v>529.36741610101876</v>
      </c>
    </row>
    <row r="15" spans="1:35" ht="11.25" customHeight="1" x14ac:dyDescent="0.2">
      <c r="A15" s="23">
        <v>11</v>
      </c>
      <c r="B15" s="24">
        <v>129.19999999999999</v>
      </c>
      <c r="C15" s="24">
        <v>191</v>
      </c>
      <c r="D15" s="24">
        <v>254</v>
      </c>
      <c r="E15" s="24">
        <v>302</v>
      </c>
      <c r="F15" s="24">
        <v>361</v>
      </c>
      <c r="G15" s="24">
        <v>422.7</v>
      </c>
      <c r="H15" s="24">
        <f t="shared" si="7"/>
        <v>431.154</v>
      </c>
      <c r="I15" s="24">
        <f t="shared" si="4"/>
        <v>439.77708000000001</v>
      </c>
      <c r="J15" s="24">
        <f t="shared" si="4"/>
        <v>448.57262160000005</v>
      </c>
      <c r="K15" s="24">
        <f t="shared" si="4"/>
        <v>457.54407403200008</v>
      </c>
      <c r="L15" s="24">
        <f t="shared" si="4"/>
        <v>466.69495551264009</v>
      </c>
      <c r="M15" s="24">
        <f t="shared" si="4"/>
        <v>476.02885462289288</v>
      </c>
      <c r="N15" s="24">
        <f t="shared" si="4"/>
        <v>485.54943171535075</v>
      </c>
      <c r="O15" s="24">
        <f t="shared" si="4"/>
        <v>495.26042034965775</v>
      </c>
      <c r="P15" s="24">
        <f t="shared" si="4"/>
        <v>505.1656287566509</v>
      </c>
      <c r="Q15" s="24">
        <f t="shared" si="4"/>
        <v>515.26894133178394</v>
      </c>
      <c r="R15" s="24">
        <f t="shared" si="4"/>
        <v>525.5743201584196</v>
      </c>
      <c r="S15" s="24">
        <f t="shared" si="4"/>
        <v>536.08580656158802</v>
      </c>
      <c r="T15" s="24">
        <f t="shared" si="4"/>
        <v>546.80752269281982</v>
      </c>
      <c r="U15" s="24">
        <f t="shared" si="4"/>
        <v>557.7436731466762</v>
      </c>
      <c r="V15" s="24">
        <f t="shared" si="4"/>
        <v>568.89854660960975</v>
      </c>
      <c r="W15" s="24">
        <f t="shared" si="4"/>
        <v>580.27651754180192</v>
      </c>
      <c r="X15" s="24">
        <f t="shared" si="4"/>
        <v>591.88204789263796</v>
      </c>
      <c r="Y15" s="24">
        <f t="shared" ref="Y15:AG15" si="24">X15*1.04</f>
        <v>615.55732980834352</v>
      </c>
      <c r="Z15" s="24">
        <f t="shared" si="24"/>
        <v>640.17962300067734</v>
      </c>
      <c r="AA15" s="24">
        <f t="shared" si="24"/>
        <v>665.7868079207044</v>
      </c>
      <c r="AB15" s="24">
        <f t="shared" si="24"/>
        <v>692.4182802375326</v>
      </c>
      <c r="AC15" s="24">
        <f t="shared" si="24"/>
        <v>720.11501144703391</v>
      </c>
      <c r="AD15" s="24">
        <f t="shared" si="24"/>
        <v>748.91961190491531</v>
      </c>
      <c r="AE15" s="24">
        <f t="shared" si="24"/>
        <v>778.87639638111193</v>
      </c>
      <c r="AF15" s="24">
        <f t="shared" si="24"/>
        <v>810.03145223635647</v>
      </c>
      <c r="AG15" s="24">
        <f t="shared" si="24"/>
        <v>842.43271032581072</v>
      </c>
      <c r="AH15" s="24">
        <f t="shared" ref="AH15" si="25">AG15*1.04</f>
        <v>876.13001873884321</v>
      </c>
    </row>
    <row r="16" spans="1:35" ht="11.25" customHeight="1" x14ac:dyDescent="0.2">
      <c r="A16" s="23">
        <v>12</v>
      </c>
      <c r="B16" s="24">
        <v>113</v>
      </c>
      <c r="C16" s="24">
        <v>188.8</v>
      </c>
      <c r="D16" s="24">
        <v>238.7</v>
      </c>
      <c r="E16" s="24">
        <v>265.89999999999998</v>
      </c>
      <c r="F16" s="24">
        <v>307</v>
      </c>
      <c r="G16" s="24">
        <v>341.5</v>
      </c>
      <c r="H16" s="24">
        <f t="shared" si="7"/>
        <v>348.33</v>
      </c>
      <c r="I16" s="24">
        <f t="shared" si="4"/>
        <v>355.29660000000001</v>
      </c>
      <c r="J16" s="24">
        <f t="shared" si="4"/>
        <v>362.40253200000001</v>
      </c>
      <c r="K16" s="24">
        <f t="shared" si="4"/>
        <v>369.65058264000004</v>
      </c>
      <c r="L16" s="24">
        <f t="shared" si="4"/>
        <v>377.04359429280004</v>
      </c>
      <c r="M16" s="24">
        <f t="shared" si="4"/>
        <v>384.58446617865604</v>
      </c>
      <c r="N16" s="24">
        <f t="shared" si="4"/>
        <v>392.27615550222919</v>
      </c>
      <c r="O16" s="24">
        <f t="shared" si="4"/>
        <v>400.1216786122738</v>
      </c>
      <c r="P16" s="24">
        <f t="shared" si="4"/>
        <v>408.12411218451928</v>
      </c>
      <c r="Q16" s="24">
        <f t="shared" si="4"/>
        <v>416.2865944282097</v>
      </c>
      <c r="R16" s="24">
        <f t="shared" si="4"/>
        <v>424.61232631677387</v>
      </c>
      <c r="S16" s="24">
        <f t="shared" si="4"/>
        <v>433.10457284310934</v>
      </c>
      <c r="T16" s="24">
        <f t="shared" si="4"/>
        <v>441.76666429997152</v>
      </c>
      <c r="U16" s="24">
        <f t="shared" si="4"/>
        <v>450.60199758597093</v>
      </c>
      <c r="V16" s="24">
        <f t="shared" si="4"/>
        <v>459.61403753769036</v>
      </c>
      <c r="W16" s="24">
        <f t="shared" si="4"/>
        <v>468.80631828844417</v>
      </c>
      <c r="X16" s="24">
        <f t="shared" si="4"/>
        <v>478.18244465421304</v>
      </c>
      <c r="Y16" s="24">
        <f t="shared" ref="Y16:AG16" si="26">X16*1.04</f>
        <v>497.30974244038157</v>
      </c>
      <c r="Z16" s="24">
        <f t="shared" si="26"/>
        <v>517.20213213799684</v>
      </c>
      <c r="AA16" s="24">
        <f t="shared" si="26"/>
        <v>537.89021742351679</v>
      </c>
      <c r="AB16" s="24">
        <f t="shared" si="26"/>
        <v>559.4058261204575</v>
      </c>
      <c r="AC16" s="24">
        <f t="shared" si="26"/>
        <v>581.78205916527577</v>
      </c>
      <c r="AD16" s="24">
        <f t="shared" si="26"/>
        <v>605.05334153188687</v>
      </c>
      <c r="AE16" s="24">
        <f t="shared" si="26"/>
        <v>629.2554751931624</v>
      </c>
      <c r="AF16" s="24">
        <f t="shared" si="26"/>
        <v>654.42569420088887</v>
      </c>
      <c r="AG16" s="24">
        <f t="shared" si="26"/>
        <v>680.60272196892447</v>
      </c>
      <c r="AH16" s="24">
        <f t="shared" ref="AH16" si="27">AG16*1.04</f>
        <v>707.82683084768144</v>
      </c>
    </row>
    <row r="17" spans="1:34" ht="11.25" customHeight="1" x14ac:dyDescent="0.2">
      <c r="A17" s="23">
        <v>13</v>
      </c>
      <c r="B17" s="24">
        <v>140.9</v>
      </c>
      <c r="C17" s="24">
        <v>191</v>
      </c>
      <c r="D17" s="24">
        <v>253</v>
      </c>
      <c r="E17" s="24">
        <v>316</v>
      </c>
      <c r="F17" s="24">
        <v>379.7</v>
      </c>
      <c r="G17" s="24">
        <v>423.7</v>
      </c>
      <c r="H17" s="24">
        <f t="shared" si="7"/>
        <v>432.17399999999998</v>
      </c>
      <c r="I17" s="24">
        <f t="shared" ref="I16:AG25" si="28">H17*1.02</f>
        <v>440.81747999999999</v>
      </c>
      <c r="J17" s="24">
        <f t="shared" si="28"/>
        <v>449.63382960000001</v>
      </c>
      <c r="K17" s="24">
        <f t="shared" si="28"/>
        <v>458.62650619200002</v>
      </c>
      <c r="L17" s="24">
        <f t="shared" si="28"/>
        <v>467.79903631584006</v>
      </c>
      <c r="M17" s="24">
        <f t="shared" si="28"/>
        <v>477.15501704215689</v>
      </c>
      <c r="N17" s="24">
        <f t="shared" si="28"/>
        <v>486.69811738300001</v>
      </c>
      <c r="O17" s="24">
        <f t="shared" si="28"/>
        <v>496.43207973066001</v>
      </c>
      <c r="P17" s="24">
        <f t="shared" si="28"/>
        <v>506.36072132527323</v>
      </c>
      <c r="Q17" s="24">
        <f t="shared" si="28"/>
        <v>516.48793575177865</v>
      </c>
      <c r="R17" s="24">
        <f t="shared" si="28"/>
        <v>526.81769446681426</v>
      </c>
      <c r="S17" s="24">
        <f t="shared" si="28"/>
        <v>537.35404835615054</v>
      </c>
      <c r="T17" s="24">
        <f t="shared" si="28"/>
        <v>548.10112932327354</v>
      </c>
      <c r="U17" s="24">
        <f t="shared" si="28"/>
        <v>559.06315190973908</v>
      </c>
      <c r="V17" s="24">
        <f t="shared" si="28"/>
        <v>570.24441494793382</v>
      </c>
      <c r="W17" s="24">
        <f t="shared" si="28"/>
        <v>581.64930324689249</v>
      </c>
      <c r="X17" s="24">
        <f t="shared" si="28"/>
        <v>593.28228931183037</v>
      </c>
      <c r="Y17" s="24">
        <f t="shared" ref="Y17:AG17" si="29">X17*1.04</f>
        <v>617.01358088430356</v>
      </c>
      <c r="Z17" s="24">
        <f t="shared" si="29"/>
        <v>641.69412411967573</v>
      </c>
      <c r="AA17" s="24">
        <f t="shared" si="29"/>
        <v>667.36188908446275</v>
      </c>
      <c r="AB17" s="24">
        <f t="shared" si="29"/>
        <v>694.05636464784129</v>
      </c>
      <c r="AC17" s="24">
        <f t="shared" si="29"/>
        <v>721.81861923375493</v>
      </c>
      <c r="AD17" s="24">
        <f t="shared" si="29"/>
        <v>750.69136400310515</v>
      </c>
      <c r="AE17" s="24">
        <f t="shared" si="29"/>
        <v>780.71901856322938</v>
      </c>
      <c r="AF17" s="24">
        <f t="shared" si="29"/>
        <v>811.94777930575856</v>
      </c>
      <c r="AG17" s="24">
        <f t="shared" si="29"/>
        <v>844.42569047798895</v>
      </c>
      <c r="AH17" s="24">
        <f t="shared" ref="AH17" si="30">AG17*1.04</f>
        <v>878.20271809710857</v>
      </c>
    </row>
    <row r="18" spans="1:34" ht="11.25" customHeight="1" x14ac:dyDescent="0.2">
      <c r="A18" s="23">
        <v>14</v>
      </c>
      <c r="B18" s="24">
        <v>82.6</v>
      </c>
      <c r="C18" s="24">
        <v>126.7</v>
      </c>
      <c r="D18" s="24">
        <v>163.4</v>
      </c>
      <c r="E18" s="24">
        <v>194.5</v>
      </c>
      <c r="F18" s="24">
        <v>224</v>
      </c>
      <c r="G18" s="24">
        <v>253.7</v>
      </c>
      <c r="H18" s="24">
        <f t="shared" si="7"/>
        <v>258.774</v>
      </c>
      <c r="I18" s="24">
        <f t="shared" si="28"/>
        <v>263.94947999999999</v>
      </c>
      <c r="J18" s="24">
        <f t="shared" si="28"/>
        <v>269.22846959999998</v>
      </c>
      <c r="K18" s="24">
        <f t="shared" si="28"/>
        <v>274.61303899199999</v>
      </c>
      <c r="L18" s="24">
        <f t="shared" si="28"/>
        <v>280.10529977184001</v>
      </c>
      <c r="M18" s="24">
        <f t="shared" si="28"/>
        <v>285.70740576727684</v>
      </c>
      <c r="N18" s="24">
        <f t="shared" si="28"/>
        <v>291.42155388262239</v>
      </c>
      <c r="O18" s="24">
        <f t="shared" si="28"/>
        <v>297.24998496027484</v>
      </c>
      <c r="P18" s="24">
        <f t="shared" si="28"/>
        <v>303.19498465948033</v>
      </c>
      <c r="Q18" s="24">
        <f t="shared" si="28"/>
        <v>309.25888435266995</v>
      </c>
      <c r="R18" s="24">
        <f t="shared" si="28"/>
        <v>315.44406203972335</v>
      </c>
      <c r="S18" s="24">
        <f t="shared" si="28"/>
        <v>321.7529432805178</v>
      </c>
      <c r="T18" s="24">
        <f t="shared" si="28"/>
        <v>328.18800214612816</v>
      </c>
      <c r="U18" s="24">
        <f t="shared" si="28"/>
        <v>334.75176218905074</v>
      </c>
      <c r="V18" s="24">
        <f t="shared" si="28"/>
        <v>341.44679743283177</v>
      </c>
      <c r="W18" s="24">
        <f t="shared" si="28"/>
        <v>348.27573338148841</v>
      </c>
      <c r="X18" s="24">
        <f t="shared" si="28"/>
        <v>355.24124804911816</v>
      </c>
      <c r="Y18" s="24">
        <f t="shared" ref="Y18:AG18" si="31">X18*1.04</f>
        <v>369.4508979710829</v>
      </c>
      <c r="Z18" s="24">
        <f t="shared" si="31"/>
        <v>384.22893388992622</v>
      </c>
      <c r="AA18" s="24">
        <f t="shared" si="31"/>
        <v>399.59809124552328</v>
      </c>
      <c r="AB18" s="24">
        <f t="shared" si="31"/>
        <v>415.58201489534423</v>
      </c>
      <c r="AC18" s="24">
        <f t="shared" si="31"/>
        <v>432.20529549115804</v>
      </c>
      <c r="AD18" s="24">
        <f t="shared" si="31"/>
        <v>449.49350731080438</v>
      </c>
      <c r="AE18" s="24">
        <f t="shared" si="31"/>
        <v>467.47324760323659</v>
      </c>
      <c r="AF18" s="24">
        <f t="shared" si="31"/>
        <v>486.17217750736609</v>
      </c>
      <c r="AG18" s="24">
        <f t="shared" si="31"/>
        <v>505.61906460766073</v>
      </c>
      <c r="AH18" s="24">
        <f t="shared" ref="AH18" si="32">AG18*1.04</f>
        <v>525.84382719196719</v>
      </c>
    </row>
    <row r="19" spans="1:34" ht="11.25" customHeight="1" x14ac:dyDescent="0.2">
      <c r="A19" s="23">
        <v>15</v>
      </c>
      <c r="B19" s="24">
        <v>113</v>
      </c>
      <c r="C19" s="24">
        <v>181.8</v>
      </c>
      <c r="D19" s="24">
        <v>229.7</v>
      </c>
      <c r="E19" s="24">
        <v>265.89999999999998</v>
      </c>
      <c r="F19" s="24">
        <v>307</v>
      </c>
      <c r="G19" s="24">
        <v>341.5</v>
      </c>
      <c r="H19" s="24">
        <f t="shared" si="7"/>
        <v>348.33</v>
      </c>
      <c r="I19" s="24">
        <f t="shared" si="28"/>
        <v>355.29660000000001</v>
      </c>
      <c r="J19" s="24">
        <f t="shared" si="28"/>
        <v>362.40253200000001</v>
      </c>
      <c r="K19" s="24">
        <f t="shared" si="28"/>
        <v>369.65058264000004</v>
      </c>
      <c r="L19" s="24">
        <f t="shared" si="28"/>
        <v>377.04359429280004</v>
      </c>
      <c r="M19" s="24">
        <f t="shared" si="28"/>
        <v>384.58446617865604</v>
      </c>
      <c r="N19" s="24">
        <f t="shared" si="28"/>
        <v>392.27615550222919</v>
      </c>
      <c r="O19" s="24">
        <f t="shared" si="28"/>
        <v>400.1216786122738</v>
      </c>
      <c r="P19" s="24">
        <f t="shared" si="28"/>
        <v>408.12411218451928</v>
      </c>
      <c r="Q19" s="24">
        <f t="shared" si="28"/>
        <v>416.2865944282097</v>
      </c>
      <c r="R19" s="24">
        <f t="shared" si="28"/>
        <v>424.61232631677387</v>
      </c>
      <c r="S19" s="24">
        <f t="shared" si="28"/>
        <v>433.10457284310934</v>
      </c>
      <c r="T19" s="24">
        <f t="shared" si="28"/>
        <v>441.76666429997152</v>
      </c>
      <c r="U19" s="24">
        <f t="shared" si="28"/>
        <v>450.60199758597093</v>
      </c>
      <c r="V19" s="24">
        <f t="shared" si="28"/>
        <v>459.61403753769036</v>
      </c>
      <c r="W19" s="24">
        <f t="shared" si="28"/>
        <v>468.80631828844417</v>
      </c>
      <c r="X19" s="24">
        <f t="shared" si="28"/>
        <v>478.18244465421304</v>
      </c>
      <c r="Y19" s="24">
        <f t="shared" ref="Y19:AG19" si="33">X19*1.04</f>
        <v>497.30974244038157</v>
      </c>
      <c r="Z19" s="24">
        <f t="shared" si="33"/>
        <v>517.20213213799684</v>
      </c>
      <c r="AA19" s="24">
        <f t="shared" si="33"/>
        <v>537.89021742351679</v>
      </c>
      <c r="AB19" s="24">
        <f t="shared" si="33"/>
        <v>559.4058261204575</v>
      </c>
      <c r="AC19" s="24">
        <f t="shared" si="33"/>
        <v>581.78205916527577</v>
      </c>
      <c r="AD19" s="24">
        <f t="shared" si="33"/>
        <v>605.05334153188687</v>
      </c>
      <c r="AE19" s="24">
        <f t="shared" si="33"/>
        <v>629.2554751931624</v>
      </c>
      <c r="AF19" s="24">
        <f t="shared" si="33"/>
        <v>654.42569420088887</v>
      </c>
      <c r="AG19" s="24">
        <f t="shared" si="33"/>
        <v>680.60272196892447</v>
      </c>
      <c r="AH19" s="24">
        <f t="shared" ref="AH19" si="34">AG19*1.04</f>
        <v>707.82683084768144</v>
      </c>
    </row>
    <row r="20" spans="1:34" ht="11.25" customHeight="1" x14ac:dyDescent="0.2">
      <c r="A20" s="23">
        <v>16</v>
      </c>
      <c r="B20" s="24">
        <v>90.2</v>
      </c>
      <c r="C20" s="24">
        <v>150.19999999999999</v>
      </c>
      <c r="D20" s="24">
        <v>189.1</v>
      </c>
      <c r="E20" s="24">
        <v>212.3</v>
      </c>
      <c r="F20" s="24">
        <v>244.7</v>
      </c>
      <c r="G20" s="24">
        <v>272.89999999999998</v>
      </c>
      <c r="H20" s="24">
        <f t="shared" si="7"/>
        <v>278.358</v>
      </c>
      <c r="I20" s="24">
        <f t="shared" si="28"/>
        <v>283.92516000000001</v>
      </c>
      <c r="J20" s="24">
        <f t="shared" si="28"/>
        <v>289.60366320000003</v>
      </c>
      <c r="K20" s="24">
        <f t="shared" si="28"/>
        <v>295.39573646400004</v>
      </c>
      <c r="L20" s="24">
        <f t="shared" si="28"/>
        <v>301.30365119328002</v>
      </c>
      <c r="M20" s="24">
        <f t="shared" si="28"/>
        <v>307.32972421714561</v>
      </c>
      <c r="N20" s="24">
        <f t="shared" si="28"/>
        <v>313.47631870148854</v>
      </c>
      <c r="O20" s="24">
        <f t="shared" si="28"/>
        <v>319.74584507551833</v>
      </c>
      <c r="P20" s="24">
        <f t="shared" si="28"/>
        <v>326.14076197702872</v>
      </c>
      <c r="Q20" s="24">
        <f t="shared" si="28"/>
        <v>332.66357721656931</v>
      </c>
      <c r="R20" s="24">
        <f t="shared" si="28"/>
        <v>339.31684876090071</v>
      </c>
      <c r="S20" s="24">
        <f t="shared" si="28"/>
        <v>346.10318573611875</v>
      </c>
      <c r="T20" s="24">
        <f t="shared" si="28"/>
        <v>353.0252494508411</v>
      </c>
      <c r="U20" s="24">
        <f t="shared" si="28"/>
        <v>360.08575443985791</v>
      </c>
      <c r="V20" s="24">
        <f t="shared" si="28"/>
        <v>367.28746952865509</v>
      </c>
      <c r="W20" s="24">
        <f t="shared" si="28"/>
        <v>374.63321891922823</v>
      </c>
      <c r="X20" s="24">
        <f t="shared" si="28"/>
        <v>382.1258832976128</v>
      </c>
      <c r="Y20" s="24">
        <f t="shared" ref="Y20:AG20" si="35">X20*1.04</f>
        <v>397.41091862951731</v>
      </c>
      <c r="Z20" s="24">
        <f t="shared" si="35"/>
        <v>413.30735537469803</v>
      </c>
      <c r="AA20" s="24">
        <f t="shared" si="35"/>
        <v>429.83964958968596</v>
      </c>
      <c r="AB20" s="24">
        <f t="shared" si="35"/>
        <v>447.03323557327343</v>
      </c>
      <c r="AC20" s="24">
        <f t="shared" si="35"/>
        <v>464.91456499620438</v>
      </c>
      <c r="AD20" s="24">
        <f t="shared" si="35"/>
        <v>483.51114759605258</v>
      </c>
      <c r="AE20" s="24">
        <f t="shared" si="35"/>
        <v>502.8515934998947</v>
      </c>
      <c r="AF20" s="24">
        <f t="shared" si="35"/>
        <v>522.96565723989056</v>
      </c>
      <c r="AG20" s="24">
        <f t="shared" si="35"/>
        <v>543.8842835294862</v>
      </c>
      <c r="AH20" s="24">
        <f t="shared" ref="AH20" si="36">AG20*1.04</f>
        <v>565.63965487066571</v>
      </c>
    </row>
    <row r="21" spans="1:34" ht="11.25" customHeight="1" x14ac:dyDescent="0.2">
      <c r="A21" s="23">
        <v>17</v>
      </c>
      <c r="B21" s="24">
        <v>98.9</v>
      </c>
      <c r="C21" s="24">
        <v>163.19999999999999</v>
      </c>
      <c r="D21" s="24">
        <v>203.1</v>
      </c>
      <c r="E21" s="24">
        <v>226.8</v>
      </c>
      <c r="F21" s="24">
        <v>260.39999999999998</v>
      </c>
      <c r="G21" s="24">
        <v>289.8</v>
      </c>
      <c r="H21" s="24">
        <f t="shared" si="7"/>
        <v>295.596</v>
      </c>
      <c r="I21" s="24">
        <f t="shared" si="28"/>
        <v>301.50792000000001</v>
      </c>
      <c r="J21" s="24">
        <f t="shared" si="28"/>
        <v>307.53807840000002</v>
      </c>
      <c r="K21" s="24">
        <f t="shared" si="28"/>
        <v>313.68883996800002</v>
      </c>
      <c r="L21" s="24">
        <f t="shared" si="28"/>
        <v>319.96261676736003</v>
      </c>
      <c r="M21" s="24">
        <f t="shared" si="28"/>
        <v>326.36186910270726</v>
      </c>
      <c r="N21" s="24">
        <f t="shared" si="28"/>
        <v>332.88910648476138</v>
      </c>
      <c r="O21" s="24">
        <f t="shared" si="28"/>
        <v>339.54688861445663</v>
      </c>
      <c r="P21" s="24">
        <f t="shared" si="28"/>
        <v>346.33782638674575</v>
      </c>
      <c r="Q21" s="24">
        <f t="shared" si="28"/>
        <v>353.26458291448068</v>
      </c>
      <c r="R21" s="24">
        <f t="shared" si="28"/>
        <v>360.32987457277028</v>
      </c>
      <c r="S21" s="24">
        <f t="shared" si="28"/>
        <v>367.53647206422568</v>
      </c>
      <c r="T21" s="24">
        <f t="shared" si="28"/>
        <v>374.88720150551018</v>
      </c>
      <c r="U21" s="24">
        <f t="shared" si="28"/>
        <v>382.38494553562037</v>
      </c>
      <c r="V21" s="24">
        <f t="shared" si="28"/>
        <v>390.03264444633277</v>
      </c>
      <c r="W21" s="24">
        <f t="shared" si="28"/>
        <v>397.83329733525943</v>
      </c>
      <c r="X21" s="24">
        <f t="shared" si="28"/>
        <v>405.78996328196462</v>
      </c>
      <c r="Y21" s="24">
        <f t="shared" ref="Y21:AG21" si="37">X21*1.04</f>
        <v>422.02156181324324</v>
      </c>
      <c r="Z21" s="24">
        <f t="shared" si="37"/>
        <v>438.90242428577301</v>
      </c>
      <c r="AA21" s="24">
        <f t="shared" si="37"/>
        <v>456.45852125720393</v>
      </c>
      <c r="AB21" s="24">
        <f t="shared" si="37"/>
        <v>474.71686210749209</v>
      </c>
      <c r="AC21" s="24">
        <f t="shared" si="37"/>
        <v>493.70553659179177</v>
      </c>
      <c r="AD21" s="24">
        <f t="shared" si="37"/>
        <v>513.45375805546348</v>
      </c>
      <c r="AE21" s="24">
        <f t="shared" si="37"/>
        <v>533.99190837768208</v>
      </c>
      <c r="AF21" s="24">
        <f t="shared" si="37"/>
        <v>555.35158471278942</v>
      </c>
      <c r="AG21" s="24">
        <f t="shared" si="37"/>
        <v>577.56564810130101</v>
      </c>
      <c r="AH21" s="24">
        <f t="shared" ref="AH21" si="38">AG21*1.04</f>
        <v>600.66827402535307</v>
      </c>
    </row>
    <row r="22" spans="1:34" ht="11.25" customHeight="1" x14ac:dyDescent="0.2">
      <c r="A22" s="23">
        <v>18</v>
      </c>
      <c r="B22" s="24">
        <v>89.2</v>
      </c>
      <c r="C22" s="24">
        <v>145.69999999999999</v>
      </c>
      <c r="D22" s="24">
        <v>178.34249160000002</v>
      </c>
      <c r="E22" s="24">
        <v>200</v>
      </c>
      <c r="F22" s="24">
        <v>228.5</v>
      </c>
      <c r="G22" s="24">
        <v>254.5</v>
      </c>
      <c r="H22" s="24">
        <f t="shared" si="7"/>
        <v>259.59000000000003</v>
      </c>
      <c r="I22" s="24">
        <f t="shared" si="28"/>
        <v>264.78180000000003</v>
      </c>
      <c r="J22" s="24">
        <f t="shared" si="28"/>
        <v>270.07743600000003</v>
      </c>
      <c r="K22" s="24">
        <f t="shared" si="28"/>
        <v>275.47898472000003</v>
      </c>
      <c r="L22" s="24">
        <f t="shared" si="28"/>
        <v>280.98856441440006</v>
      </c>
      <c r="M22" s="24">
        <f t="shared" si="28"/>
        <v>286.60833570268807</v>
      </c>
      <c r="N22" s="24">
        <f t="shared" si="28"/>
        <v>292.34050241674186</v>
      </c>
      <c r="O22" s="24">
        <f t="shared" si="28"/>
        <v>298.18731246507667</v>
      </c>
      <c r="P22" s="24">
        <f t="shared" si="28"/>
        <v>304.15105871437822</v>
      </c>
      <c r="Q22" s="24">
        <f t="shared" si="28"/>
        <v>310.2340798886658</v>
      </c>
      <c r="R22" s="24">
        <f t="shared" si="28"/>
        <v>316.43876148643915</v>
      </c>
      <c r="S22" s="24">
        <f t="shared" si="28"/>
        <v>322.76753671616791</v>
      </c>
      <c r="T22" s="24">
        <f t="shared" si="28"/>
        <v>329.22288745049127</v>
      </c>
      <c r="U22" s="24">
        <f t="shared" si="28"/>
        <v>335.80734519950113</v>
      </c>
      <c r="V22" s="24">
        <f t="shared" si="28"/>
        <v>342.52349210349115</v>
      </c>
      <c r="W22" s="24">
        <f t="shared" si="28"/>
        <v>349.37396194556101</v>
      </c>
      <c r="X22" s="24">
        <f t="shared" si="28"/>
        <v>356.36144118447226</v>
      </c>
      <c r="Y22" s="24">
        <f t="shared" ref="Y22:AG22" si="39">X22*1.04</f>
        <v>370.61589883185115</v>
      </c>
      <c r="Z22" s="24">
        <f t="shared" si="39"/>
        <v>385.44053478512524</v>
      </c>
      <c r="AA22" s="24">
        <f t="shared" si="39"/>
        <v>400.85815617653026</v>
      </c>
      <c r="AB22" s="24">
        <f t="shared" si="39"/>
        <v>416.8924824235915</v>
      </c>
      <c r="AC22" s="24">
        <f t="shared" si="39"/>
        <v>433.56818172053516</v>
      </c>
      <c r="AD22" s="24">
        <f t="shared" si="39"/>
        <v>450.91090898935659</v>
      </c>
      <c r="AE22" s="24">
        <f t="shared" si="39"/>
        <v>468.94734534893087</v>
      </c>
      <c r="AF22" s="24">
        <f t="shared" si="39"/>
        <v>487.70523916288812</v>
      </c>
      <c r="AG22" s="24">
        <f t="shared" si="39"/>
        <v>507.21344872940364</v>
      </c>
      <c r="AH22" s="24">
        <f t="shared" ref="AH22" si="40">AG22*1.04</f>
        <v>527.50198667857978</v>
      </c>
    </row>
    <row r="23" spans="1:34" ht="11.25" customHeight="1" x14ac:dyDescent="0.2">
      <c r="A23" s="23">
        <v>19</v>
      </c>
      <c r="B23" s="24">
        <v>112.5</v>
      </c>
      <c r="C23" s="24">
        <v>168</v>
      </c>
      <c r="D23" s="24">
        <v>220</v>
      </c>
      <c r="E23" s="24">
        <v>263.7</v>
      </c>
      <c r="F23" s="24">
        <v>304.3</v>
      </c>
      <c r="G23" s="24">
        <v>339.7</v>
      </c>
      <c r="H23" s="24">
        <f t="shared" si="7"/>
        <v>346.49399999999997</v>
      </c>
      <c r="I23" s="24">
        <f t="shared" si="28"/>
        <v>353.42388</v>
      </c>
      <c r="J23" s="24">
        <f t="shared" si="28"/>
        <v>360.49235759999999</v>
      </c>
      <c r="K23" s="24">
        <f t="shared" si="28"/>
        <v>367.702204752</v>
      </c>
      <c r="L23" s="24">
        <f t="shared" si="28"/>
        <v>375.05624884704002</v>
      </c>
      <c r="M23" s="24">
        <f t="shared" si="28"/>
        <v>382.55737382398081</v>
      </c>
      <c r="N23" s="24">
        <f t="shared" si="28"/>
        <v>390.20852130046046</v>
      </c>
      <c r="O23" s="24">
        <f t="shared" si="28"/>
        <v>398.01269172646965</v>
      </c>
      <c r="P23" s="24">
        <f t="shared" si="28"/>
        <v>405.97294556099905</v>
      </c>
      <c r="Q23" s="24">
        <f t="shared" si="28"/>
        <v>414.09240447221902</v>
      </c>
      <c r="R23" s="24">
        <f t="shared" si="28"/>
        <v>422.37425256166341</v>
      </c>
      <c r="S23" s="24">
        <f t="shared" si="28"/>
        <v>430.8217376128967</v>
      </c>
      <c r="T23" s="24">
        <f t="shared" si="28"/>
        <v>439.43817236515463</v>
      </c>
      <c r="U23" s="24">
        <f t="shared" si="28"/>
        <v>448.22693581245773</v>
      </c>
      <c r="V23" s="24">
        <f t="shared" si="28"/>
        <v>457.19147452870686</v>
      </c>
      <c r="W23" s="24">
        <f t="shared" si="28"/>
        <v>466.33530401928101</v>
      </c>
      <c r="X23" s="24">
        <f t="shared" si="28"/>
        <v>475.66201009966665</v>
      </c>
      <c r="Y23" s="24">
        <f t="shared" ref="Y23:AG25" si="41">X23*1.04</f>
        <v>494.68849050365333</v>
      </c>
      <c r="Z23" s="24">
        <f t="shared" si="41"/>
        <v>514.47603012379943</v>
      </c>
      <c r="AA23" s="24">
        <f t="shared" si="41"/>
        <v>535.05507132875141</v>
      </c>
      <c r="AB23" s="24">
        <f t="shared" si="41"/>
        <v>556.45727418190154</v>
      </c>
      <c r="AC23" s="24">
        <f t="shared" si="41"/>
        <v>578.71556514917756</v>
      </c>
      <c r="AD23" s="24">
        <f t="shared" si="41"/>
        <v>601.86418775514471</v>
      </c>
      <c r="AE23" s="24">
        <f t="shared" si="41"/>
        <v>625.93875526535055</v>
      </c>
      <c r="AF23" s="24">
        <f t="shared" si="41"/>
        <v>650.97630547596464</v>
      </c>
      <c r="AG23" s="24">
        <f t="shared" si="41"/>
        <v>677.01535769500322</v>
      </c>
      <c r="AH23" s="24">
        <f t="shared" ref="AH23:AH25" si="42">AG23*1.04</f>
        <v>704.09597200280336</v>
      </c>
    </row>
    <row r="24" spans="1:34" ht="11.25" customHeight="1" x14ac:dyDescent="0.2">
      <c r="A24" s="23">
        <v>20</v>
      </c>
      <c r="B24" s="26" t="s">
        <v>143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8"/>
    </row>
    <row r="25" spans="1:34" ht="11.25" customHeight="1" x14ac:dyDescent="0.2">
      <c r="A25" s="23">
        <v>21</v>
      </c>
      <c r="B25" s="24">
        <v>88</v>
      </c>
      <c r="C25" s="24">
        <v>146.19999999999999</v>
      </c>
      <c r="D25" s="24">
        <v>183.6</v>
      </c>
      <c r="E25" s="24">
        <v>206.2</v>
      </c>
      <c r="F25" s="24">
        <v>237.4</v>
      </c>
      <c r="G25" s="24">
        <v>264.89999999999998</v>
      </c>
      <c r="H25" s="24">
        <f t="shared" si="7"/>
        <v>270.19799999999998</v>
      </c>
      <c r="I25" s="24">
        <f t="shared" ref="I25:AH25" si="43">H25*1.02</f>
        <v>275.60195999999996</v>
      </c>
      <c r="J25" s="24">
        <f t="shared" si="43"/>
        <v>281.11399919999997</v>
      </c>
      <c r="K25" s="24">
        <f t="shared" si="43"/>
        <v>286.73627918399995</v>
      </c>
      <c r="L25" s="24">
        <f t="shared" si="43"/>
        <v>292.47100476767997</v>
      </c>
      <c r="M25" s="24">
        <f t="shared" si="43"/>
        <v>298.32042486303357</v>
      </c>
      <c r="N25" s="24">
        <f t="shared" si="43"/>
        <v>304.28683336029422</v>
      </c>
      <c r="O25" s="24">
        <f t="shared" si="43"/>
        <v>310.3725700275001</v>
      </c>
      <c r="P25" s="24">
        <f t="shared" si="43"/>
        <v>316.58002142805009</v>
      </c>
      <c r="Q25" s="24">
        <f t="shared" si="43"/>
        <v>322.91162185661108</v>
      </c>
      <c r="R25" s="24">
        <f t="shared" si="43"/>
        <v>329.36985429374329</v>
      </c>
      <c r="S25" s="24">
        <f t="shared" si="43"/>
        <v>335.95725137961819</v>
      </c>
      <c r="T25" s="24">
        <f t="shared" si="43"/>
        <v>342.67639640721058</v>
      </c>
      <c r="U25" s="24">
        <f t="shared" si="43"/>
        <v>349.52992433535479</v>
      </c>
      <c r="V25" s="24">
        <f t="shared" si="43"/>
        <v>356.52052282206188</v>
      </c>
      <c r="W25" s="24">
        <f t="shared" si="43"/>
        <v>363.65093327850315</v>
      </c>
      <c r="X25" s="24">
        <f t="shared" si="43"/>
        <v>370.92395194407322</v>
      </c>
      <c r="Y25" s="24">
        <f t="shared" si="43"/>
        <v>378.34243098295468</v>
      </c>
      <c r="Z25" s="24">
        <f t="shared" si="43"/>
        <v>385.90927960261376</v>
      </c>
      <c r="AA25" s="24">
        <f t="shared" si="43"/>
        <v>393.62746519466606</v>
      </c>
      <c r="AB25" s="24">
        <f t="shared" si="43"/>
        <v>401.50001449855938</v>
      </c>
      <c r="AC25" s="24">
        <f t="shared" si="43"/>
        <v>409.53001478853059</v>
      </c>
      <c r="AD25" s="24">
        <f t="shared" si="43"/>
        <v>417.72061508430119</v>
      </c>
      <c r="AE25" s="24">
        <f t="shared" si="43"/>
        <v>426.0750273859872</v>
      </c>
      <c r="AF25" s="24">
        <f t="shared" si="43"/>
        <v>434.59652793370697</v>
      </c>
      <c r="AG25" s="24">
        <f t="shared" si="43"/>
        <v>443.2884584923811</v>
      </c>
      <c r="AH25" s="24">
        <f t="shared" si="43"/>
        <v>452.15422766222872</v>
      </c>
    </row>
    <row r="26" spans="1:34" ht="11.25" customHeight="1" x14ac:dyDescent="0.2">
      <c r="A26" s="23">
        <v>22</v>
      </c>
      <c r="B26" s="24">
        <v>87.7</v>
      </c>
      <c r="C26" s="24">
        <v>133.69999999999999</v>
      </c>
      <c r="D26" s="24">
        <v>171.6</v>
      </c>
      <c r="E26" s="24">
        <v>204.2</v>
      </c>
      <c r="F26" s="24">
        <v>235</v>
      </c>
      <c r="G26" s="24">
        <v>265.8</v>
      </c>
      <c r="H26" s="24">
        <f t="shared" ref="H26:AH26" si="44">G26*1.02</f>
        <v>271.11600000000004</v>
      </c>
      <c r="I26" s="24">
        <f t="shared" si="44"/>
        <v>276.53832000000006</v>
      </c>
      <c r="J26" s="24">
        <f t="shared" si="44"/>
        <v>282.06908640000006</v>
      </c>
      <c r="K26" s="24">
        <f t="shared" si="44"/>
        <v>287.71046812800006</v>
      </c>
      <c r="L26" s="24">
        <f t="shared" si="44"/>
        <v>293.46467749056006</v>
      </c>
      <c r="M26" s="24">
        <f t="shared" si="44"/>
        <v>299.3339710403713</v>
      </c>
      <c r="N26" s="24">
        <f t="shared" si="44"/>
        <v>305.32065046117873</v>
      </c>
      <c r="O26" s="24">
        <f t="shared" si="44"/>
        <v>311.42706347040229</v>
      </c>
      <c r="P26" s="24">
        <f t="shared" si="44"/>
        <v>317.65560473981031</v>
      </c>
      <c r="Q26" s="24">
        <f t="shared" si="44"/>
        <v>324.0087168346065</v>
      </c>
      <c r="R26" s="24">
        <f t="shared" si="44"/>
        <v>330.48889117129863</v>
      </c>
      <c r="S26" s="24">
        <f t="shared" si="44"/>
        <v>337.09866899472462</v>
      </c>
      <c r="T26" s="24">
        <f t="shared" si="44"/>
        <v>343.84064237461911</v>
      </c>
      <c r="U26" s="24">
        <f t="shared" si="44"/>
        <v>350.71745522211148</v>
      </c>
      <c r="V26" s="24">
        <f t="shared" si="44"/>
        <v>357.73180432655374</v>
      </c>
      <c r="W26" s="24">
        <f t="shared" si="44"/>
        <v>364.88644041308481</v>
      </c>
      <c r="X26" s="24">
        <f t="shared" si="44"/>
        <v>372.18416922134651</v>
      </c>
      <c r="Y26" s="24">
        <f t="shared" si="44"/>
        <v>379.62785260577346</v>
      </c>
      <c r="Z26" s="24">
        <f t="shared" si="44"/>
        <v>387.22040965788892</v>
      </c>
      <c r="AA26" s="24">
        <f t="shared" si="44"/>
        <v>394.96481785104669</v>
      </c>
      <c r="AB26" s="24">
        <f t="shared" si="44"/>
        <v>402.86411420806763</v>
      </c>
      <c r="AC26" s="24">
        <f t="shared" si="44"/>
        <v>410.92139649222901</v>
      </c>
      <c r="AD26" s="24">
        <f t="shared" si="44"/>
        <v>419.13982442207362</v>
      </c>
      <c r="AE26" s="24">
        <f t="shared" si="44"/>
        <v>427.52262091051512</v>
      </c>
      <c r="AF26" s="24">
        <f t="shared" si="44"/>
        <v>436.0730733287254</v>
      </c>
      <c r="AG26" s="24">
        <f t="shared" si="44"/>
        <v>444.79453479529991</v>
      </c>
      <c r="AH26" s="24">
        <f t="shared" si="44"/>
        <v>453.69042549120593</v>
      </c>
    </row>
    <row r="27" spans="1:34" ht="11.25" customHeight="1" x14ac:dyDescent="0.2">
      <c r="A27" s="23">
        <v>23</v>
      </c>
      <c r="B27" s="24">
        <v>89.2</v>
      </c>
      <c r="C27" s="24">
        <v>145.69999999999999</v>
      </c>
      <c r="D27" s="24">
        <v>178.7</v>
      </c>
      <c r="E27" s="24">
        <v>200</v>
      </c>
      <c r="F27" s="24">
        <v>228.5</v>
      </c>
      <c r="G27" s="24">
        <v>254.5</v>
      </c>
      <c r="H27" s="24">
        <f t="shared" ref="H27:AH27" si="45">G27*1.02</f>
        <v>259.59000000000003</v>
      </c>
      <c r="I27" s="24">
        <f t="shared" si="45"/>
        <v>264.78180000000003</v>
      </c>
      <c r="J27" s="24">
        <f t="shared" si="45"/>
        <v>270.07743600000003</v>
      </c>
      <c r="K27" s="24">
        <f t="shared" si="45"/>
        <v>275.47898472000003</v>
      </c>
      <c r="L27" s="24">
        <f t="shared" si="45"/>
        <v>280.98856441440006</v>
      </c>
      <c r="M27" s="24">
        <f t="shared" si="45"/>
        <v>286.60833570268807</v>
      </c>
      <c r="N27" s="24">
        <f t="shared" si="45"/>
        <v>292.34050241674186</v>
      </c>
      <c r="O27" s="24">
        <f t="shared" si="45"/>
        <v>298.18731246507667</v>
      </c>
      <c r="P27" s="24">
        <f t="shared" si="45"/>
        <v>304.15105871437822</v>
      </c>
      <c r="Q27" s="24">
        <f t="shared" si="45"/>
        <v>310.2340798886658</v>
      </c>
      <c r="R27" s="24">
        <f t="shared" si="45"/>
        <v>316.43876148643915</v>
      </c>
      <c r="S27" s="24">
        <f t="shared" si="45"/>
        <v>322.76753671616791</v>
      </c>
      <c r="T27" s="24">
        <f t="shared" si="45"/>
        <v>329.22288745049127</v>
      </c>
      <c r="U27" s="24">
        <f t="shared" si="45"/>
        <v>335.80734519950113</v>
      </c>
      <c r="V27" s="24">
        <f t="shared" si="45"/>
        <v>342.52349210349115</v>
      </c>
      <c r="W27" s="24">
        <f t="shared" si="45"/>
        <v>349.37396194556101</v>
      </c>
      <c r="X27" s="24">
        <f t="shared" si="45"/>
        <v>356.36144118447226</v>
      </c>
      <c r="Y27" s="24">
        <f t="shared" si="45"/>
        <v>363.48867000816171</v>
      </c>
      <c r="Z27" s="24">
        <f t="shared" si="45"/>
        <v>370.75844340832492</v>
      </c>
      <c r="AA27" s="24">
        <f t="shared" si="45"/>
        <v>378.17361227649144</v>
      </c>
      <c r="AB27" s="24">
        <f t="shared" si="45"/>
        <v>385.73708452202129</v>
      </c>
      <c r="AC27" s="24">
        <f t="shared" si="45"/>
        <v>393.4518262124617</v>
      </c>
      <c r="AD27" s="24">
        <f t="shared" si="45"/>
        <v>401.32086273671092</v>
      </c>
      <c r="AE27" s="24">
        <f t="shared" si="45"/>
        <v>409.34727999144513</v>
      </c>
      <c r="AF27" s="24">
        <f t="shared" si="45"/>
        <v>417.53422559127404</v>
      </c>
      <c r="AG27" s="24">
        <f t="shared" si="45"/>
        <v>425.88491010309951</v>
      </c>
      <c r="AH27" s="24">
        <f t="shared" si="45"/>
        <v>434.40260830516149</v>
      </c>
    </row>
    <row r="28" spans="1:34" ht="11.25" customHeight="1" x14ac:dyDescent="0.2">
      <c r="A28" s="23">
        <v>24</v>
      </c>
      <c r="B28" s="24">
        <v>104.7</v>
      </c>
      <c r="C28" s="24">
        <v>160</v>
      </c>
      <c r="D28" s="24">
        <v>214</v>
      </c>
      <c r="E28" s="24">
        <v>263</v>
      </c>
      <c r="F28" s="24">
        <v>301</v>
      </c>
      <c r="G28" s="24">
        <v>386.7</v>
      </c>
      <c r="H28" s="24">
        <f t="shared" ref="H28:AH28" si="46">G28*1.02</f>
        <v>394.43399999999997</v>
      </c>
      <c r="I28" s="24">
        <f t="shared" si="46"/>
        <v>402.32267999999999</v>
      </c>
      <c r="J28" s="24">
        <f t="shared" si="46"/>
        <v>410.3691336</v>
      </c>
      <c r="K28" s="24">
        <f t="shared" si="46"/>
        <v>418.57651627199999</v>
      </c>
      <c r="L28" s="24">
        <f t="shared" si="46"/>
        <v>426.94804659744</v>
      </c>
      <c r="M28" s="24">
        <f t="shared" si="46"/>
        <v>435.48700752938879</v>
      </c>
      <c r="N28" s="24">
        <f t="shared" si="46"/>
        <v>444.19674767997657</v>
      </c>
      <c r="O28" s="24">
        <f t="shared" si="46"/>
        <v>453.08068263357609</v>
      </c>
      <c r="P28" s="24">
        <f t="shared" si="46"/>
        <v>462.14229628624764</v>
      </c>
      <c r="Q28" s="24">
        <f t="shared" si="46"/>
        <v>471.38514221197261</v>
      </c>
      <c r="R28" s="24">
        <f t="shared" si="46"/>
        <v>480.81284505621204</v>
      </c>
      <c r="S28" s="24">
        <f t="shared" si="46"/>
        <v>490.42910195733629</v>
      </c>
      <c r="T28" s="24">
        <f t="shared" si="46"/>
        <v>500.23768399648304</v>
      </c>
      <c r="U28" s="24">
        <f t="shared" si="46"/>
        <v>510.24243767641269</v>
      </c>
      <c r="V28" s="24">
        <f t="shared" si="46"/>
        <v>520.44728642994096</v>
      </c>
      <c r="W28" s="24">
        <f t="shared" si="46"/>
        <v>530.8562321585398</v>
      </c>
      <c r="X28" s="24">
        <f t="shared" si="46"/>
        <v>541.47335680171057</v>
      </c>
      <c r="Y28" s="24">
        <f t="shared" si="46"/>
        <v>552.30282393774473</v>
      </c>
      <c r="Z28" s="24">
        <f t="shared" si="46"/>
        <v>563.34888041649958</v>
      </c>
      <c r="AA28" s="24">
        <f t="shared" si="46"/>
        <v>574.61585802482955</v>
      </c>
      <c r="AB28" s="24">
        <f t="shared" si="46"/>
        <v>586.1081751853261</v>
      </c>
      <c r="AC28" s="24">
        <f t="shared" si="46"/>
        <v>597.8303386890326</v>
      </c>
      <c r="AD28" s="24">
        <f t="shared" si="46"/>
        <v>609.78694546281326</v>
      </c>
      <c r="AE28" s="24">
        <f t="shared" si="46"/>
        <v>621.98268437206957</v>
      </c>
      <c r="AF28" s="24">
        <f t="shared" si="46"/>
        <v>634.42233805951093</v>
      </c>
      <c r="AG28" s="24">
        <f t="shared" si="46"/>
        <v>647.11078482070116</v>
      </c>
      <c r="AH28" s="24">
        <f t="shared" si="46"/>
        <v>660.05300051711515</v>
      </c>
    </row>
    <row r="29" spans="1:34" ht="11.25" customHeight="1" x14ac:dyDescent="0.2">
      <c r="A29" s="23">
        <v>25</v>
      </c>
      <c r="B29" s="24">
        <v>96.9</v>
      </c>
      <c r="C29" s="24">
        <v>162.30000000000001</v>
      </c>
      <c r="D29" s="24">
        <v>206</v>
      </c>
      <c r="E29" s="24">
        <v>230.8</v>
      </c>
      <c r="F29" s="24">
        <v>266.7</v>
      </c>
      <c r="G29" s="24">
        <v>297.3</v>
      </c>
      <c r="H29" s="24">
        <f t="shared" ref="H29:AH29" si="47">G29*1.02</f>
        <v>303.24600000000004</v>
      </c>
      <c r="I29" s="24">
        <f t="shared" si="47"/>
        <v>309.31092000000007</v>
      </c>
      <c r="J29" s="24">
        <f t="shared" si="47"/>
        <v>315.4971384000001</v>
      </c>
      <c r="K29" s="24">
        <f t="shared" si="47"/>
        <v>321.80708116800008</v>
      </c>
      <c r="L29" s="24">
        <f t="shared" si="47"/>
        <v>328.2432227913601</v>
      </c>
      <c r="M29" s="24">
        <f t="shared" si="47"/>
        <v>334.8080872471873</v>
      </c>
      <c r="N29" s="24">
        <f t="shared" si="47"/>
        <v>341.50424899213107</v>
      </c>
      <c r="O29" s="24">
        <f t="shared" si="47"/>
        <v>348.33433397197371</v>
      </c>
      <c r="P29" s="24">
        <f t="shared" si="47"/>
        <v>355.30102065141318</v>
      </c>
      <c r="Q29" s="24">
        <f t="shared" si="47"/>
        <v>362.40704106444144</v>
      </c>
      <c r="R29" s="24">
        <f t="shared" si="47"/>
        <v>369.65518188573026</v>
      </c>
      <c r="S29" s="24">
        <f t="shared" si="47"/>
        <v>377.04828552344486</v>
      </c>
      <c r="T29" s="24">
        <f t="shared" si="47"/>
        <v>384.58925123391379</v>
      </c>
      <c r="U29" s="24">
        <f t="shared" si="47"/>
        <v>392.28103625859205</v>
      </c>
      <c r="V29" s="24">
        <f t="shared" si="47"/>
        <v>400.12665698376389</v>
      </c>
      <c r="W29" s="24">
        <f t="shared" si="47"/>
        <v>408.12919012343917</v>
      </c>
      <c r="X29" s="24">
        <f t="shared" si="47"/>
        <v>416.29177392590799</v>
      </c>
      <c r="Y29" s="24">
        <f t="shared" si="47"/>
        <v>424.61760940442616</v>
      </c>
      <c r="Z29" s="24">
        <f t="shared" si="47"/>
        <v>433.10996159251471</v>
      </c>
      <c r="AA29" s="24">
        <f t="shared" si="47"/>
        <v>441.77216082436502</v>
      </c>
      <c r="AB29" s="24">
        <f t="shared" si="47"/>
        <v>450.60760404085232</v>
      </c>
      <c r="AC29" s="24">
        <f t="shared" si="47"/>
        <v>459.61975612166935</v>
      </c>
      <c r="AD29" s="24">
        <f t="shared" si="47"/>
        <v>468.81215124410272</v>
      </c>
      <c r="AE29" s="24">
        <f t="shared" si="47"/>
        <v>478.18839426898478</v>
      </c>
      <c r="AF29" s="24">
        <f t="shared" si="47"/>
        <v>487.7521621543645</v>
      </c>
      <c r="AG29" s="24">
        <f t="shared" si="47"/>
        <v>497.5072053974518</v>
      </c>
      <c r="AH29" s="24">
        <f t="shared" si="47"/>
        <v>507.45734950540083</v>
      </c>
    </row>
    <row r="30" spans="1:34" ht="11.25" customHeight="1" x14ac:dyDescent="0.2">
      <c r="A30" s="23">
        <v>26</v>
      </c>
      <c r="B30" s="24">
        <v>101.3</v>
      </c>
      <c r="C30" s="24">
        <v>143</v>
      </c>
      <c r="D30" s="24">
        <v>182</v>
      </c>
      <c r="E30" s="24">
        <v>220</v>
      </c>
      <c r="F30" s="24">
        <v>261</v>
      </c>
      <c r="G30" s="24">
        <v>313.60000000000002</v>
      </c>
      <c r="H30" s="24">
        <f t="shared" ref="H30:AH30" si="48">G30*1.02</f>
        <v>319.87200000000001</v>
      </c>
      <c r="I30" s="24">
        <f t="shared" si="48"/>
        <v>326.26944000000003</v>
      </c>
      <c r="J30" s="24">
        <f t="shared" si="48"/>
        <v>332.79482880000006</v>
      </c>
      <c r="K30" s="24">
        <f t="shared" si="48"/>
        <v>339.45072537600009</v>
      </c>
      <c r="L30" s="24">
        <f t="shared" si="48"/>
        <v>346.23973988352009</v>
      </c>
      <c r="M30" s="24">
        <f t="shared" si="48"/>
        <v>353.1645346811905</v>
      </c>
      <c r="N30" s="24">
        <f t="shared" si="48"/>
        <v>360.2278253748143</v>
      </c>
      <c r="O30" s="24">
        <f t="shared" si="48"/>
        <v>367.43238188231061</v>
      </c>
      <c r="P30" s="24">
        <f t="shared" si="48"/>
        <v>374.7810295199568</v>
      </c>
      <c r="Q30" s="24">
        <f t="shared" si="48"/>
        <v>382.27665011035594</v>
      </c>
      <c r="R30" s="24">
        <f t="shared" si="48"/>
        <v>389.92218311256306</v>
      </c>
      <c r="S30" s="24">
        <f t="shared" si="48"/>
        <v>397.72062677481432</v>
      </c>
      <c r="T30" s="24">
        <f t="shared" si="48"/>
        <v>405.67503931031064</v>
      </c>
      <c r="U30" s="24">
        <f t="shared" si="48"/>
        <v>413.78854009651684</v>
      </c>
      <c r="V30" s="24">
        <f t="shared" si="48"/>
        <v>422.06431089844716</v>
      </c>
      <c r="W30" s="24">
        <f t="shared" si="48"/>
        <v>430.50559711641608</v>
      </c>
      <c r="X30" s="24">
        <f t="shared" si="48"/>
        <v>439.11570905874441</v>
      </c>
      <c r="Y30" s="24">
        <f t="shared" si="48"/>
        <v>447.89802323991933</v>
      </c>
      <c r="Z30" s="24">
        <f t="shared" si="48"/>
        <v>456.85598370471774</v>
      </c>
      <c r="AA30" s="24">
        <f t="shared" si="48"/>
        <v>465.99310337881212</v>
      </c>
      <c r="AB30" s="24">
        <f t="shared" si="48"/>
        <v>475.31296544638838</v>
      </c>
      <c r="AC30" s="24">
        <f t="shared" si="48"/>
        <v>484.81922475531616</v>
      </c>
      <c r="AD30" s="24">
        <f t="shared" si="48"/>
        <v>494.51560925042247</v>
      </c>
      <c r="AE30" s="24">
        <f t="shared" si="48"/>
        <v>504.40592143543091</v>
      </c>
      <c r="AF30" s="24">
        <f t="shared" si="48"/>
        <v>514.49403986413949</v>
      </c>
      <c r="AG30" s="24">
        <f t="shared" si="48"/>
        <v>524.78392066142226</v>
      </c>
      <c r="AH30" s="24">
        <f t="shared" si="48"/>
        <v>535.27959907465072</v>
      </c>
    </row>
    <row r="31" spans="1:34" ht="11.25" customHeight="1" x14ac:dyDescent="0.2">
      <c r="A31" s="23">
        <v>27</v>
      </c>
      <c r="B31" s="24">
        <v>90.9</v>
      </c>
      <c r="C31" s="24">
        <v>119.3115</v>
      </c>
      <c r="D31" s="24">
        <v>160.5282</v>
      </c>
      <c r="E31" s="24">
        <v>195.4</v>
      </c>
      <c r="F31" s="24">
        <v>224.3</v>
      </c>
      <c r="G31" s="24">
        <v>253.89999999999998</v>
      </c>
      <c r="H31" s="24">
        <f t="shared" ref="H31:AH31" si="49">G31*1.02</f>
        <v>258.97800000000001</v>
      </c>
      <c r="I31" s="24">
        <f t="shared" si="49"/>
        <v>264.15755999999999</v>
      </c>
      <c r="J31" s="24">
        <f t="shared" si="49"/>
        <v>269.44071120000001</v>
      </c>
      <c r="K31" s="24">
        <f t="shared" si="49"/>
        <v>274.829525424</v>
      </c>
      <c r="L31" s="24">
        <f t="shared" si="49"/>
        <v>280.32611593247998</v>
      </c>
      <c r="M31" s="24">
        <f t="shared" si="49"/>
        <v>285.93263825112956</v>
      </c>
      <c r="N31" s="24">
        <f t="shared" si="49"/>
        <v>291.65129101615213</v>
      </c>
      <c r="O31" s="24">
        <f t="shared" si="49"/>
        <v>297.48431683647516</v>
      </c>
      <c r="P31" s="24">
        <f t="shared" si="49"/>
        <v>303.43400317320464</v>
      </c>
      <c r="Q31" s="24">
        <f t="shared" si="49"/>
        <v>309.50268323666876</v>
      </c>
      <c r="R31" s="24">
        <f t="shared" si="49"/>
        <v>315.69273690140216</v>
      </c>
      <c r="S31" s="24">
        <f t="shared" si="49"/>
        <v>322.00659163943021</v>
      </c>
      <c r="T31" s="24">
        <f t="shared" si="49"/>
        <v>328.44672347221882</v>
      </c>
      <c r="U31" s="24">
        <f t="shared" si="49"/>
        <v>335.01565794166322</v>
      </c>
      <c r="V31" s="24">
        <f t="shared" si="49"/>
        <v>341.71597110049652</v>
      </c>
      <c r="W31" s="24">
        <f t="shared" si="49"/>
        <v>348.55029052250643</v>
      </c>
      <c r="X31" s="24">
        <f t="shared" si="49"/>
        <v>355.52129633295658</v>
      </c>
      <c r="Y31" s="24">
        <f t="shared" si="49"/>
        <v>362.63172225961574</v>
      </c>
      <c r="Z31" s="24">
        <f t="shared" si="49"/>
        <v>369.88435670480806</v>
      </c>
      <c r="AA31" s="24">
        <f t="shared" si="49"/>
        <v>377.2820438389042</v>
      </c>
      <c r="AB31" s="24">
        <f t="shared" si="49"/>
        <v>384.82768471568227</v>
      </c>
      <c r="AC31" s="24">
        <f t="shared" si="49"/>
        <v>392.52423840999592</v>
      </c>
      <c r="AD31" s="24">
        <f t="shared" si="49"/>
        <v>400.37472317819584</v>
      </c>
      <c r="AE31" s="24">
        <f t="shared" si="49"/>
        <v>408.38221764175978</v>
      </c>
      <c r="AF31" s="24">
        <f t="shared" si="49"/>
        <v>416.54986199459501</v>
      </c>
      <c r="AG31" s="24">
        <f t="shared" si="49"/>
        <v>424.88085923448693</v>
      </c>
      <c r="AH31" s="24">
        <f t="shared" si="49"/>
        <v>433.37847641917671</v>
      </c>
    </row>
    <row r="32" spans="1:34" ht="11.25" customHeight="1" x14ac:dyDescent="0.2">
      <c r="A32" s="23">
        <v>28</v>
      </c>
      <c r="B32" s="24">
        <v>73.5</v>
      </c>
      <c r="C32" s="24">
        <v>119.3115</v>
      </c>
      <c r="D32" s="24">
        <v>147.19999999999999</v>
      </c>
      <c r="E32" s="24">
        <v>166.3</v>
      </c>
      <c r="F32" s="24">
        <v>189.8</v>
      </c>
      <c r="G32" s="24">
        <v>212.2</v>
      </c>
      <c r="H32" s="24">
        <f t="shared" ref="H32:AH32" si="50">G32*1.02</f>
        <v>216.44399999999999</v>
      </c>
      <c r="I32" s="24">
        <f t="shared" si="50"/>
        <v>220.77287999999999</v>
      </c>
      <c r="J32" s="24">
        <f t="shared" si="50"/>
        <v>225.18833759999998</v>
      </c>
      <c r="K32" s="24">
        <f t="shared" si="50"/>
        <v>229.69210435199997</v>
      </c>
      <c r="L32" s="24">
        <f t="shared" si="50"/>
        <v>234.28594643903998</v>
      </c>
      <c r="M32" s="24">
        <f t="shared" si="50"/>
        <v>238.97166536782078</v>
      </c>
      <c r="N32" s="24">
        <f t="shared" si="50"/>
        <v>243.75109867517719</v>
      </c>
      <c r="O32" s="24">
        <f t="shared" si="50"/>
        <v>248.62612064868074</v>
      </c>
      <c r="P32" s="24">
        <f t="shared" si="50"/>
        <v>253.59864306165437</v>
      </c>
      <c r="Q32" s="24">
        <f t="shared" si="50"/>
        <v>258.67061592288746</v>
      </c>
      <c r="R32" s="24">
        <f t="shared" si="50"/>
        <v>263.8440282413452</v>
      </c>
      <c r="S32" s="24">
        <f t="shared" si="50"/>
        <v>269.12090880617211</v>
      </c>
      <c r="T32" s="24">
        <f t="shared" si="50"/>
        <v>274.50332698229556</v>
      </c>
      <c r="U32" s="24">
        <f t="shared" si="50"/>
        <v>279.99339352194147</v>
      </c>
      <c r="V32" s="24">
        <f t="shared" si="50"/>
        <v>285.59326139238033</v>
      </c>
      <c r="W32" s="24">
        <f t="shared" si="50"/>
        <v>291.30512662022795</v>
      </c>
      <c r="X32" s="24">
        <f t="shared" si="50"/>
        <v>297.1312291526325</v>
      </c>
      <c r="Y32" s="24">
        <f t="shared" si="50"/>
        <v>303.07385373568513</v>
      </c>
      <c r="Z32" s="24">
        <f t="shared" si="50"/>
        <v>309.13533081039884</v>
      </c>
      <c r="AA32" s="24">
        <f t="shared" si="50"/>
        <v>315.31803742660685</v>
      </c>
      <c r="AB32" s="24">
        <f t="shared" si="50"/>
        <v>321.62439817513899</v>
      </c>
      <c r="AC32" s="24">
        <f t="shared" si="50"/>
        <v>328.0568861386418</v>
      </c>
      <c r="AD32" s="24">
        <f t="shared" si="50"/>
        <v>334.61802386141466</v>
      </c>
      <c r="AE32" s="24">
        <f t="shared" si="50"/>
        <v>341.31038433864296</v>
      </c>
      <c r="AF32" s="24">
        <f t="shared" si="50"/>
        <v>348.13659202541584</v>
      </c>
      <c r="AG32" s="24">
        <f t="shared" si="50"/>
        <v>355.09932386592413</v>
      </c>
      <c r="AH32" s="24">
        <f t="shared" si="50"/>
        <v>362.2013103432426</v>
      </c>
    </row>
    <row r="33" spans="1:34" ht="11.25" customHeight="1" x14ac:dyDescent="0.2">
      <c r="A33" s="23">
        <v>29</v>
      </c>
      <c r="B33" s="24">
        <v>103.7</v>
      </c>
      <c r="C33" s="24">
        <v>148</v>
      </c>
      <c r="D33" s="24">
        <v>190</v>
      </c>
      <c r="E33" s="24">
        <v>238</v>
      </c>
      <c r="F33" s="24">
        <v>276.39999999999998</v>
      </c>
      <c r="G33" s="24">
        <v>307.60000000000002</v>
      </c>
      <c r="H33" s="24">
        <f t="shared" ref="H33:AH33" si="51">G33*1.02</f>
        <v>313.75200000000001</v>
      </c>
      <c r="I33" s="24">
        <f t="shared" si="51"/>
        <v>320.02704</v>
      </c>
      <c r="J33" s="24">
        <f t="shared" si="51"/>
        <v>326.42758079999999</v>
      </c>
      <c r="K33" s="24">
        <f t="shared" si="51"/>
        <v>332.956132416</v>
      </c>
      <c r="L33" s="24">
        <f t="shared" si="51"/>
        <v>339.61525506432002</v>
      </c>
      <c r="M33" s="24">
        <f t="shared" si="51"/>
        <v>346.40756016560641</v>
      </c>
      <c r="N33" s="24">
        <f t="shared" si="51"/>
        <v>353.33571136891857</v>
      </c>
      <c r="O33" s="24">
        <f t="shared" si="51"/>
        <v>360.40242559629695</v>
      </c>
      <c r="P33" s="24">
        <f t="shared" si="51"/>
        <v>367.61047410822289</v>
      </c>
      <c r="Q33" s="24">
        <f t="shared" si="51"/>
        <v>374.96268359038737</v>
      </c>
      <c r="R33" s="24">
        <f t="shared" si="51"/>
        <v>382.46193726219514</v>
      </c>
      <c r="S33" s="24">
        <f t="shared" si="51"/>
        <v>390.11117600743904</v>
      </c>
      <c r="T33" s="24">
        <f t="shared" si="51"/>
        <v>397.91339952758784</v>
      </c>
      <c r="U33" s="24">
        <f t="shared" si="51"/>
        <v>405.87166751813959</v>
      </c>
      <c r="V33" s="24">
        <f t="shared" si="51"/>
        <v>413.98910086850236</v>
      </c>
      <c r="W33" s="24">
        <f t="shared" si="51"/>
        <v>422.26888288587242</v>
      </c>
      <c r="X33" s="24">
        <f t="shared" si="51"/>
        <v>430.71426054358989</v>
      </c>
      <c r="Y33" s="24">
        <f t="shared" si="51"/>
        <v>439.32854575446169</v>
      </c>
      <c r="Z33" s="24">
        <f t="shared" si="51"/>
        <v>448.1151166695509</v>
      </c>
      <c r="AA33" s="24">
        <f t="shared" si="51"/>
        <v>457.07741900294195</v>
      </c>
      <c r="AB33" s="24">
        <f t="shared" si="51"/>
        <v>466.2189673830008</v>
      </c>
      <c r="AC33" s="24">
        <f t="shared" si="51"/>
        <v>475.5433467306608</v>
      </c>
      <c r="AD33" s="24">
        <f t="shared" si="51"/>
        <v>485.05421366527401</v>
      </c>
      <c r="AE33" s="24">
        <f t="shared" si="51"/>
        <v>494.75529793857947</v>
      </c>
      <c r="AF33" s="24">
        <f t="shared" si="51"/>
        <v>504.65040389735105</v>
      </c>
      <c r="AG33" s="24">
        <f t="shared" si="51"/>
        <v>514.74341197529805</v>
      </c>
      <c r="AH33" s="24">
        <f t="shared" si="51"/>
        <v>525.03828021480399</v>
      </c>
    </row>
    <row r="34" spans="1:34" ht="11.25" customHeight="1" x14ac:dyDescent="0.2">
      <c r="A34" s="23">
        <v>30</v>
      </c>
      <c r="B34" s="24">
        <v>124.5</v>
      </c>
      <c r="C34" s="24">
        <v>178</v>
      </c>
      <c r="D34" s="24">
        <v>223</v>
      </c>
      <c r="E34" s="24">
        <v>278</v>
      </c>
      <c r="F34" s="24">
        <v>310</v>
      </c>
      <c r="G34" s="24">
        <v>383.4</v>
      </c>
      <c r="H34" s="24">
        <f t="shared" ref="H34:AH34" si="52">G34*1.02</f>
        <v>391.06799999999998</v>
      </c>
      <c r="I34" s="24">
        <f t="shared" si="52"/>
        <v>398.88936000000001</v>
      </c>
      <c r="J34" s="24">
        <f t="shared" si="52"/>
        <v>406.86714720000003</v>
      </c>
      <c r="K34" s="24">
        <f t="shared" si="52"/>
        <v>415.00449014400004</v>
      </c>
      <c r="L34" s="24">
        <f t="shared" si="52"/>
        <v>423.30457994688004</v>
      </c>
      <c r="M34" s="24">
        <f t="shared" si="52"/>
        <v>431.77067154581766</v>
      </c>
      <c r="N34" s="24">
        <f t="shared" si="52"/>
        <v>440.40608497673401</v>
      </c>
      <c r="O34" s="24">
        <f t="shared" si="52"/>
        <v>449.2142066762687</v>
      </c>
      <c r="P34" s="24">
        <f t="shared" si="52"/>
        <v>458.19849080979407</v>
      </c>
      <c r="Q34" s="24">
        <f t="shared" si="52"/>
        <v>467.36246062598997</v>
      </c>
      <c r="R34" s="24">
        <f t="shared" si="52"/>
        <v>476.70970983850975</v>
      </c>
      <c r="S34" s="24">
        <f t="shared" si="52"/>
        <v>486.24390403527997</v>
      </c>
      <c r="T34" s="24">
        <f t="shared" si="52"/>
        <v>495.96878211598556</v>
      </c>
      <c r="U34" s="24">
        <f t="shared" si="52"/>
        <v>505.88815775830528</v>
      </c>
      <c r="V34" s="24">
        <f t="shared" si="52"/>
        <v>516.00592091347141</v>
      </c>
      <c r="W34" s="24">
        <f t="shared" si="52"/>
        <v>526.32603933174084</v>
      </c>
      <c r="X34" s="24">
        <f t="shared" si="52"/>
        <v>536.85256011837566</v>
      </c>
      <c r="Y34" s="24">
        <f t="shared" si="52"/>
        <v>547.58961132074319</v>
      </c>
      <c r="Z34" s="24">
        <f t="shared" si="52"/>
        <v>558.5414035471581</v>
      </c>
      <c r="AA34" s="24">
        <f t="shared" si="52"/>
        <v>569.71223161810121</v>
      </c>
      <c r="AB34" s="24">
        <f t="shared" si="52"/>
        <v>581.10647625046329</v>
      </c>
      <c r="AC34" s="24">
        <f t="shared" si="52"/>
        <v>592.7286057754726</v>
      </c>
      <c r="AD34" s="24">
        <f t="shared" si="52"/>
        <v>604.58317789098203</v>
      </c>
      <c r="AE34" s="24">
        <f t="shared" si="52"/>
        <v>616.67484144880166</v>
      </c>
      <c r="AF34" s="24">
        <f t="shared" si="52"/>
        <v>629.00833827777774</v>
      </c>
      <c r="AG34" s="24">
        <f t="shared" si="52"/>
        <v>641.58850504333327</v>
      </c>
      <c r="AH34" s="24">
        <f t="shared" si="52"/>
        <v>654.42027514419999</v>
      </c>
    </row>
    <row r="35" spans="1:34" ht="11.25" customHeight="1" x14ac:dyDescent="0.2">
      <c r="A35" s="23">
        <v>31</v>
      </c>
      <c r="B35" s="24">
        <v>123.9</v>
      </c>
      <c r="C35" s="24">
        <v>198</v>
      </c>
      <c r="D35" s="24">
        <v>253</v>
      </c>
      <c r="E35" s="24">
        <v>304.60000000000002</v>
      </c>
      <c r="F35" s="24">
        <v>354.5</v>
      </c>
      <c r="G35" s="24">
        <v>395.9</v>
      </c>
      <c r="H35" s="24">
        <f t="shared" ref="H35:AH35" si="53">G35*1.02</f>
        <v>403.81799999999998</v>
      </c>
      <c r="I35" s="24">
        <f t="shared" si="53"/>
        <v>411.89436000000001</v>
      </c>
      <c r="J35" s="24">
        <f t="shared" si="53"/>
        <v>420.13224719999999</v>
      </c>
      <c r="K35" s="24">
        <f t="shared" si="53"/>
        <v>428.53489214400003</v>
      </c>
      <c r="L35" s="24">
        <f t="shared" si="53"/>
        <v>437.10558998688003</v>
      </c>
      <c r="M35" s="24">
        <f t="shared" si="53"/>
        <v>445.84770178661762</v>
      </c>
      <c r="N35" s="24">
        <f t="shared" si="53"/>
        <v>454.76465582234999</v>
      </c>
      <c r="O35" s="24">
        <f t="shared" si="53"/>
        <v>463.859948938797</v>
      </c>
      <c r="P35" s="24">
        <f t="shared" si="53"/>
        <v>473.13714791757297</v>
      </c>
      <c r="Q35" s="24">
        <f t="shared" si="53"/>
        <v>482.59989087592442</v>
      </c>
      <c r="R35" s="24">
        <f t="shared" si="53"/>
        <v>492.25188869344294</v>
      </c>
      <c r="S35" s="24">
        <f t="shared" si="53"/>
        <v>502.09692646731179</v>
      </c>
      <c r="T35" s="24">
        <f t="shared" si="53"/>
        <v>512.13886499665807</v>
      </c>
      <c r="U35" s="24">
        <f t="shared" si="53"/>
        <v>522.38164229659128</v>
      </c>
      <c r="V35" s="24">
        <f t="shared" si="53"/>
        <v>532.8292751425231</v>
      </c>
      <c r="W35" s="24">
        <f t="shared" si="53"/>
        <v>543.48586064537358</v>
      </c>
      <c r="X35" s="24">
        <f t="shared" si="53"/>
        <v>554.35557785828109</v>
      </c>
      <c r="Y35" s="24">
        <f t="shared" si="53"/>
        <v>565.44268941544669</v>
      </c>
      <c r="Z35" s="24">
        <f t="shared" si="53"/>
        <v>576.75154320375566</v>
      </c>
      <c r="AA35" s="24">
        <f t="shared" si="53"/>
        <v>588.28657406783077</v>
      </c>
      <c r="AB35" s="24">
        <f t="shared" si="53"/>
        <v>600.05230554918739</v>
      </c>
      <c r="AC35" s="24">
        <f t="shared" si="53"/>
        <v>612.05335166017119</v>
      </c>
      <c r="AD35" s="24">
        <f t="shared" si="53"/>
        <v>624.29441869337461</v>
      </c>
      <c r="AE35" s="24">
        <f t="shared" si="53"/>
        <v>636.78030706724212</v>
      </c>
      <c r="AF35" s="24">
        <f t="shared" si="53"/>
        <v>649.51591320858699</v>
      </c>
      <c r="AG35" s="24">
        <f t="shared" si="53"/>
        <v>662.50623147275871</v>
      </c>
      <c r="AH35" s="24">
        <f t="shared" si="53"/>
        <v>675.75635610221389</v>
      </c>
    </row>
    <row r="36" spans="1:34" ht="11.25" customHeight="1" x14ac:dyDescent="0.2">
      <c r="A36" s="23">
        <v>32</v>
      </c>
      <c r="B36" s="24">
        <v>121</v>
      </c>
      <c r="C36" s="24">
        <v>166</v>
      </c>
      <c r="D36" s="24">
        <v>214</v>
      </c>
      <c r="E36" s="24">
        <v>257</v>
      </c>
      <c r="F36" s="24">
        <v>301</v>
      </c>
      <c r="G36" s="24">
        <v>346</v>
      </c>
      <c r="H36" s="24">
        <f t="shared" ref="H36:AH36" si="54">G36*1.02</f>
        <v>352.92</v>
      </c>
      <c r="I36" s="24">
        <f t="shared" si="54"/>
        <v>359.97840000000002</v>
      </c>
      <c r="J36" s="24">
        <f t="shared" si="54"/>
        <v>367.17796800000002</v>
      </c>
      <c r="K36" s="24">
        <f t="shared" si="54"/>
        <v>374.52152736000005</v>
      </c>
      <c r="L36" s="24">
        <f t="shared" si="54"/>
        <v>382.01195790720004</v>
      </c>
      <c r="M36" s="24">
        <f t="shared" si="54"/>
        <v>389.65219706534407</v>
      </c>
      <c r="N36" s="24">
        <f t="shared" si="54"/>
        <v>397.44524100665097</v>
      </c>
      <c r="O36" s="24">
        <f t="shared" si="54"/>
        <v>405.39414582678398</v>
      </c>
      <c r="P36" s="24">
        <f t="shared" si="54"/>
        <v>413.50202874331967</v>
      </c>
      <c r="Q36" s="24">
        <f t="shared" si="54"/>
        <v>421.77206931818608</v>
      </c>
      <c r="R36" s="24">
        <f t="shared" si="54"/>
        <v>430.2075107045498</v>
      </c>
      <c r="S36" s="24">
        <f t="shared" si="54"/>
        <v>438.81166091864083</v>
      </c>
      <c r="T36" s="24">
        <f t="shared" si="54"/>
        <v>447.58789413701368</v>
      </c>
      <c r="U36" s="24">
        <f t="shared" si="54"/>
        <v>456.53965201975393</v>
      </c>
      <c r="V36" s="24">
        <f t="shared" si="54"/>
        <v>465.67044506014901</v>
      </c>
      <c r="W36" s="24">
        <f t="shared" si="54"/>
        <v>474.983853961352</v>
      </c>
      <c r="X36" s="24">
        <f t="shared" si="54"/>
        <v>484.48353104057907</v>
      </c>
      <c r="Y36" s="24">
        <f t="shared" si="54"/>
        <v>494.17320166139064</v>
      </c>
      <c r="Z36" s="24">
        <f t="shared" si="54"/>
        <v>504.05666569461846</v>
      </c>
      <c r="AA36" s="24">
        <f t="shared" si="54"/>
        <v>514.1377990085108</v>
      </c>
      <c r="AB36" s="24">
        <f t="shared" si="54"/>
        <v>524.42055498868103</v>
      </c>
      <c r="AC36" s="24">
        <f t="shared" si="54"/>
        <v>534.90896608845469</v>
      </c>
      <c r="AD36" s="24">
        <f t="shared" si="54"/>
        <v>545.60714541022378</v>
      </c>
      <c r="AE36" s="24">
        <f t="shared" si="54"/>
        <v>556.51928831842827</v>
      </c>
      <c r="AF36" s="24">
        <f t="shared" si="54"/>
        <v>567.64967408479686</v>
      </c>
      <c r="AG36" s="24">
        <f t="shared" si="54"/>
        <v>579.00266756649285</v>
      </c>
      <c r="AH36" s="24">
        <f t="shared" si="54"/>
        <v>590.58272091782271</v>
      </c>
    </row>
    <row r="37" spans="1:34" ht="11.25" customHeight="1" x14ac:dyDescent="0.2">
      <c r="A37" s="23">
        <v>33</v>
      </c>
      <c r="B37" s="24">
        <v>99.4</v>
      </c>
      <c r="C37" s="24">
        <v>165</v>
      </c>
      <c r="D37" s="24">
        <v>212.2</v>
      </c>
      <c r="E37" s="24">
        <v>237.7</v>
      </c>
      <c r="F37" s="24">
        <v>274.89999999999998</v>
      </c>
      <c r="G37" s="24">
        <v>306.39999999999998</v>
      </c>
      <c r="H37" s="24">
        <f t="shared" ref="H37:AH37" si="55">G37*1.02</f>
        <v>312.52799999999996</v>
      </c>
      <c r="I37" s="24">
        <f t="shared" si="55"/>
        <v>318.77855999999997</v>
      </c>
      <c r="J37" s="24">
        <f t="shared" si="55"/>
        <v>325.15413119999999</v>
      </c>
      <c r="K37" s="24">
        <f t="shared" si="55"/>
        <v>331.657213824</v>
      </c>
      <c r="L37" s="24">
        <f t="shared" si="55"/>
        <v>338.29035810047998</v>
      </c>
      <c r="M37" s="24">
        <f t="shared" si="55"/>
        <v>345.05616526248957</v>
      </c>
      <c r="N37" s="24">
        <f t="shared" si="55"/>
        <v>351.9572885677394</v>
      </c>
      <c r="O37" s="24">
        <f t="shared" si="55"/>
        <v>358.99643433909421</v>
      </c>
      <c r="P37" s="24">
        <f t="shared" si="55"/>
        <v>366.17636302587607</v>
      </c>
      <c r="Q37" s="24">
        <f t="shared" si="55"/>
        <v>373.49989028639362</v>
      </c>
      <c r="R37" s="24">
        <f t="shared" si="55"/>
        <v>380.96988809212149</v>
      </c>
      <c r="S37" s="24">
        <f t="shared" si="55"/>
        <v>388.58928585396393</v>
      </c>
      <c r="T37" s="24">
        <f t="shared" si="55"/>
        <v>396.36107157104323</v>
      </c>
      <c r="U37" s="24">
        <f t="shared" si="55"/>
        <v>404.28829300246412</v>
      </c>
      <c r="V37" s="24">
        <f t="shared" si="55"/>
        <v>412.37405886251338</v>
      </c>
      <c r="W37" s="24">
        <f t="shared" si="55"/>
        <v>420.62154003976366</v>
      </c>
      <c r="X37" s="24">
        <f t="shared" si="55"/>
        <v>429.03397084055894</v>
      </c>
      <c r="Y37" s="24">
        <f t="shared" si="55"/>
        <v>437.6146502573701</v>
      </c>
      <c r="Z37" s="24">
        <f t="shared" si="55"/>
        <v>446.36694326251751</v>
      </c>
      <c r="AA37" s="24">
        <f t="shared" si="55"/>
        <v>455.29428212776787</v>
      </c>
      <c r="AB37" s="24">
        <f t="shared" si="55"/>
        <v>464.40016777032326</v>
      </c>
      <c r="AC37" s="24">
        <f t="shared" si="55"/>
        <v>473.68817112572975</v>
      </c>
      <c r="AD37" s="24">
        <f t="shared" si="55"/>
        <v>483.16193454824435</v>
      </c>
      <c r="AE37" s="24">
        <f t="shared" si="55"/>
        <v>492.82517323920922</v>
      </c>
      <c r="AF37" s="24">
        <f t="shared" si="55"/>
        <v>502.68167670399339</v>
      </c>
      <c r="AG37" s="24">
        <f t="shared" si="55"/>
        <v>512.73531023807323</v>
      </c>
      <c r="AH37" s="24">
        <f t="shared" si="55"/>
        <v>522.99001644283464</v>
      </c>
    </row>
    <row r="38" spans="1:34" ht="11.25" customHeight="1" x14ac:dyDescent="0.2">
      <c r="A38" s="23">
        <v>34</v>
      </c>
      <c r="B38" s="24">
        <v>115.8</v>
      </c>
      <c r="C38" s="24">
        <v>154</v>
      </c>
      <c r="D38" s="24">
        <v>207</v>
      </c>
      <c r="E38" s="24">
        <v>261</v>
      </c>
      <c r="F38" s="24">
        <v>321</v>
      </c>
      <c r="G38" s="24">
        <v>366.5</v>
      </c>
      <c r="H38" s="24">
        <f t="shared" ref="H38:AH38" si="56">G38*1.02</f>
        <v>373.83</v>
      </c>
      <c r="I38" s="24">
        <f t="shared" si="56"/>
        <v>381.3066</v>
      </c>
      <c r="J38" s="24">
        <f t="shared" si="56"/>
        <v>388.93273199999999</v>
      </c>
      <c r="K38" s="24">
        <f t="shared" si="56"/>
        <v>396.71138664</v>
      </c>
      <c r="L38" s="24">
        <f t="shared" si="56"/>
        <v>404.64561437280003</v>
      </c>
      <c r="M38" s="24">
        <f t="shared" si="56"/>
        <v>412.73852666025601</v>
      </c>
      <c r="N38" s="24">
        <f t="shared" si="56"/>
        <v>420.99329719346116</v>
      </c>
      <c r="O38" s="24">
        <f t="shared" si="56"/>
        <v>429.4131631373304</v>
      </c>
      <c r="P38" s="24">
        <f t="shared" si="56"/>
        <v>438.00142640007704</v>
      </c>
      <c r="Q38" s="24">
        <f t="shared" si="56"/>
        <v>446.76145492807859</v>
      </c>
      <c r="R38" s="24">
        <f t="shared" si="56"/>
        <v>455.69668402664018</v>
      </c>
      <c r="S38" s="24">
        <f t="shared" si="56"/>
        <v>464.81061770717298</v>
      </c>
      <c r="T38" s="24">
        <f t="shared" si="56"/>
        <v>474.10683006131643</v>
      </c>
      <c r="U38" s="24">
        <f t="shared" si="56"/>
        <v>483.58896666254276</v>
      </c>
      <c r="V38" s="24">
        <f t="shared" si="56"/>
        <v>493.26074599579363</v>
      </c>
      <c r="W38" s="24">
        <f t="shared" si="56"/>
        <v>503.12596091570953</v>
      </c>
      <c r="X38" s="24">
        <f t="shared" si="56"/>
        <v>513.18848013402373</v>
      </c>
      <c r="Y38" s="24">
        <f t="shared" si="56"/>
        <v>523.45224973670418</v>
      </c>
      <c r="Z38" s="24">
        <f t="shared" si="56"/>
        <v>533.92129473143825</v>
      </c>
      <c r="AA38" s="24">
        <f t="shared" si="56"/>
        <v>544.59972062606698</v>
      </c>
      <c r="AB38" s="24">
        <f t="shared" si="56"/>
        <v>555.49171503858838</v>
      </c>
      <c r="AC38" s="24">
        <f t="shared" si="56"/>
        <v>566.60154933936019</v>
      </c>
      <c r="AD38" s="24">
        <f t="shared" si="56"/>
        <v>577.93358032614742</v>
      </c>
      <c r="AE38" s="24">
        <f t="shared" si="56"/>
        <v>589.49225193267034</v>
      </c>
      <c r="AF38" s="24">
        <f t="shared" si="56"/>
        <v>601.28209697132377</v>
      </c>
      <c r="AG38" s="24">
        <f t="shared" si="56"/>
        <v>613.30773891075023</v>
      </c>
      <c r="AH38" s="24">
        <f t="shared" si="56"/>
        <v>625.5738936889652</v>
      </c>
    </row>
    <row r="39" spans="1:34" ht="11.25" customHeight="1" x14ac:dyDescent="0.2">
      <c r="A39" s="23">
        <v>35</v>
      </c>
      <c r="B39" s="24">
        <v>82.6</v>
      </c>
      <c r="C39" s="24">
        <v>126.7</v>
      </c>
      <c r="D39" s="24">
        <v>163.4</v>
      </c>
      <c r="E39" s="24">
        <v>194.5</v>
      </c>
      <c r="F39" s="24">
        <v>224</v>
      </c>
      <c r="G39" s="24">
        <v>253.7</v>
      </c>
      <c r="H39" s="24">
        <f t="shared" ref="H39:AH39" si="57">G39*1.02</f>
        <v>258.774</v>
      </c>
      <c r="I39" s="24">
        <f t="shared" si="57"/>
        <v>263.94947999999999</v>
      </c>
      <c r="J39" s="24">
        <f t="shared" si="57"/>
        <v>269.22846959999998</v>
      </c>
      <c r="K39" s="24">
        <f t="shared" si="57"/>
        <v>274.61303899199999</v>
      </c>
      <c r="L39" s="24">
        <f t="shared" si="57"/>
        <v>280.10529977184001</v>
      </c>
      <c r="M39" s="24">
        <f t="shared" si="57"/>
        <v>285.70740576727684</v>
      </c>
      <c r="N39" s="24">
        <f t="shared" si="57"/>
        <v>291.42155388262239</v>
      </c>
      <c r="O39" s="24">
        <f t="shared" si="57"/>
        <v>297.24998496027484</v>
      </c>
      <c r="P39" s="24">
        <f t="shared" si="57"/>
        <v>303.19498465948033</v>
      </c>
      <c r="Q39" s="24">
        <f t="shared" si="57"/>
        <v>309.25888435266995</v>
      </c>
      <c r="R39" s="24">
        <f t="shared" si="57"/>
        <v>315.44406203972335</v>
      </c>
      <c r="S39" s="24">
        <f t="shared" si="57"/>
        <v>321.7529432805178</v>
      </c>
      <c r="T39" s="24">
        <f t="shared" si="57"/>
        <v>328.18800214612816</v>
      </c>
      <c r="U39" s="24">
        <f t="shared" si="57"/>
        <v>334.75176218905074</v>
      </c>
      <c r="V39" s="24">
        <f t="shared" si="57"/>
        <v>341.44679743283177</v>
      </c>
      <c r="W39" s="24">
        <f t="shared" si="57"/>
        <v>348.27573338148841</v>
      </c>
      <c r="X39" s="24">
        <f t="shared" si="57"/>
        <v>355.24124804911816</v>
      </c>
      <c r="Y39" s="24">
        <f t="shared" si="57"/>
        <v>362.3460730101005</v>
      </c>
      <c r="Z39" s="24">
        <f t="shared" si="57"/>
        <v>369.59299447030253</v>
      </c>
      <c r="AA39" s="24">
        <f t="shared" si="57"/>
        <v>376.98485435970861</v>
      </c>
      <c r="AB39" s="24">
        <f t="shared" si="57"/>
        <v>384.52455144690276</v>
      </c>
      <c r="AC39" s="24">
        <f t="shared" si="57"/>
        <v>392.21504247584085</v>
      </c>
      <c r="AD39" s="24">
        <f t="shared" si="57"/>
        <v>400.05934332535764</v>
      </c>
      <c r="AE39" s="24">
        <f t="shared" si="57"/>
        <v>408.06053019186481</v>
      </c>
      <c r="AF39" s="24">
        <f t="shared" si="57"/>
        <v>416.22174079570209</v>
      </c>
      <c r="AG39" s="24">
        <f t="shared" si="57"/>
        <v>424.54617561161615</v>
      </c>
      <c r="AH39" s="24">
        <f t="shared" si="57"/>
        <v>433.03709912384846</v>
      </c>
    </row>
    <row r="40" spans="1:34" ht="11.25" customHeight="1" x14ac:dyDescent="0.2">
      <c r="A40" s="23">
        <v>36</v>
      </c>
      <c r="B40" s="24">
        <v>80.5</v>
      </c>
      <c r="C40" s="24">
        <v>132.69999999999999</v>
      </c>
      <c r="D40" s="24">
        <v>164.8</v>
      </c>
      <c r="E40" s="24">
        <v>185.6</v>
      </c>
      <c r="F40" s="24">
        <v>212.8</v>
      </c>
      <c r="G40" s="24">
        <v>237.6</v>
      </c>
      <c r="H40" s="24">
        <f t="shared" ref="H40:AH40" si="58">G40*1.02</f>
        <v>242.352</v>
      </c>
      <c r="I40" s="24">
        <f t="shared" si="58"/>
        <v>247.19904</v>
      </c>
      <c r="J40" s="24">
        <f t="shared" si="58"/>
        <v>252.14302079999999</v>
      </c>
      <c r="K40" s="24">
        <f t="shared" si="58"/>
        <v>257.18588121599998</v>
      </c>
      <c r="L40" s="24">
        <f t="shared" si="58"/>
        <v>262.32959884031999</v>
      </c>
      <c r="M40" s="24">
        <f t="shared" si="58"/>
        <v>267.57619081712642</v>
      </c>
      <c r="N40" s="24">
        <f t="shared" si="58"/>
        <v>272.92771463346895</v>
      </c>
      <c r="O40" s="24">
        <f t="shared" si="58"/>
        <v>278.38626892613831</v>
      </c>
      <c r="P40" s="24">
        <f t="shared" si="58"/>
        <v>283.95399430466108</v>
      </c>
      <c r="Q40" s="24">
        <f t="shared" si="58"/>
        <v>289.63307419075431</v>
      </c>
      <c r="R40" s="24">
        <f t="shared" si="58"/>
        <v>295.42573567456941</v>
      </c>
      <c r="S40" s="24">
        <f t="shared" si="58"/>
        <v>301.33425038806081</v>
      </c>
      <c r="T40" s="24">
        <f t="shared" si="58"/>
        <v>307.36093539582203</v>
      </c>
      <c r="U40" s="24">
        <f t="shared" si="58"/>
        <v>313.50815410373849</v>
      </c>
      <c r="V40" s="24">
        <f t="shared" si="58"/>
        <v>319.77831718581325</v>
      </c>
      <c r="W40" s="24">
        <f t="shared" si="58"/>
        <v>326.17388352952952</v>
      </c>
      <c r="X40" s="24">
        <f t="shared" si="58"/>
        <v>332.6973612001201</v>
      </c>
      <c r="Y40" s="24">
        <f t="shared" si="58"/>
        <v>339.35130842412252</v>
      </c>
      <c r="Z40" s="24">
        <f t="shared" si="58"/>
        <v>346.13833459260496</v>
      </c>
      <c r="AA40" s="24">
        <f t="shared" si="58"/>
        <v>353.0611012844571</v>
      </c>
      <c r="AB40" s="24">
        <f t="shared" si="58"/>
        <v>360.12232331014627</v>
      </c>
      <c r="AC40" s="24">
        <f t="shared" si="58"/>
        <v>367.32476977634923</v>
      </c>
      <c r="AD40" s="24">
        <f t="shared" si="58"/>
        <v>374.6712651718762</v>
      </c>
      <c r="AE40" s="24">
        <f t="shared" si="58"/>
        <v>382.16469047531371</v>
      </c>
      <c r="AF40" s="24">
        <f t="shared" si="58"/>
        <v>389.80798428482001</v>
      </c>
      <c r="AG40" s="24">
        <f t="shared" si="58"/>
        <v>397.60414397051642</v>
      </c>
      <c r="AH40" s="24">
        <f t="shared" si="58"/>
        <v>405.55622684992676</v>
      </c>
    </row>
    <row r="41" spans="1:34" ht="11.25" customHeight="1" x14ac:dyDescent="0.2">
      <c r="A41" s="23">
        <v>37</v>
      </c>
      <c r="B41" s="24">
        <v>77.5</v>
      </c>
      <c r="C41" s="24">
        <v>127.4</v>
      </c>
      <c r="D41" s="24">
        <v>157.30000000000001</v>
      </c>
      <c r="E41" s="24">
        <v>177.4</v>
      </c>
      <c r="F41" s="24">
        <v>203.1</v>
      </c>
      <c r="G41" s="24">
        <v>226.9</v>
      </c>
      <c r="H41" s="24">
        <f t="shared" ref="H41:AH41" si="59">G41*1.02</f>
        <v>231.43800000000002</v>
      </c>
      <c r="I41" s="24">
        <f t="shared" si="59"/>
        <v>236.06676000000002</v>
      </c>
      <c r="J41" s="24">
        <f t="shared" si="59"/>
        <v>240.78809520000001</v>
      </c>
      <c r="K41" s="24">
        <f t="shared" si="59"/>
        <v>245.60385710400001</v>
      </c>
      <c r="L41" s="24">
        <f t="shared" si="59"/>
        <v>250.51593424608001</v>
      </c>
      <c r="M41" s="24">
        <f t="shared" si="59"/>
        <v>255.52625293100161</v>
      </c>
      <c r="N41" s="24">
        <f t="shared" si="59"/>
        <v>260.63677798962163</v>
      </c>
      <c r="O41" s="24">
        <f t="shared" si="59"/>
        <v>265.8495135494141</v>
      </c>
      <c r="P41" s="24">
        <f t="shared" si="59"/>
        <v>271.1665038204024</v>
      </c>
      <c r="Q41" s="24">
        <f t="shared" si="59"/>
        <v>276.58983389681043</v>
      </c>
      <c r="R41" s="24">
        <f t="shared" si="59"/>
        <v>282.12163057474663</v>
      </c>
      <c r="S41" s="24">
        <f t="shared" si="59"/>
        <v>287.76406318624157</v>
      </c>
      <c r="T41" s="24">
        <f t="shared" si="59"/>
        <v>293.51934444996641</v>
      </c>
      <c r="U41" s="24">
        <f t="shared" si="59"/>
        <v>299.38973133896576</v>
      </c>
      <c r="V41" s="24">
        <f t="shared" si="59"/>
        <v>305.37752596574506</v>
      </c>
      <c r="W41" s="24">
        <f t="shared" si="59"/>
        <v>311.48507648505995</v>
      </c>
      <c r="X41" s="24">
        <f t="shared" si="59"/>
        <v>317.71477801476118</v>
      </c>
      <c r="Y41" s="24">
        <f t="shared" si="59"/>
        <v>324.06907357505639</v>
      </c>
      <c r="Z41" s="24">
        <f t="shared" si="59"/>
        <v>330.55045504655754</v>
      </c>
      <c r="AA41" s="24">
        <f t="shared" si="59"/>
        <v>337.16146414748869</v>
      </c>
      <c r="AB41" s="24">
        <f t="shared" si="59"/>
        <v>343.90469343043844</v>
      </c>
      <c r="AC41" s="24">
        <f t="shared" si="59"/>
        <v>350.78278729904724</v>
      </c>
      <c r="AD41" s="24">
        <f t="shared" si="59"/>
        <v>357.79844304502819</v>
      </c>
      <c r="AE41" s="24">
        <f t="shared" si="59"/>
        <v>364.95441190592874</v>
      </c>
      <c r="AF41" s="24">
        <f t="shared" si="59"/>
        <v>372.25350014404734</v>
      </c>
      <c r="AG41" s="24">
        <f t="shared" si="59"/>
        <v>379.69857014692826</v>
      </c>
      <c r="AH41" s="24">
        <f t="shared" si="59"/>
        <v>387.29254154986683</v>
      </c>
    </row>
    <row r="42" spans="1:34" ht="11.25" customHeight="1" x14ac:dyDescent="0.2">
      <c r="A42" s="23">
        <v>38</v>
      </c>
      <c r="B42" s="24">
        <v>104</v>
      </c>
      <c r="C42" s="24">
        <v>140</v>
      </c>
      <c r="D42" s="24">
        <v>174</v>
      </c>
      <c r="E42" s="24">
        <v>225</v>
      </c>
      <c r="F42" s="24">
        <v>264</v>
      </c>
      <c r="G42" s="24">
        <v>310.5</v>
      </c>
      <c r="H42" s="24">
        <f t="shared" ref="H42:AH42" si="60">G42*1.02</f>
        <v>316.70999999999998</v>
      </c>
      <c r="I42" s="24">
        <f t="shared" si="60"/>
        <v>323.04419999999999</v>
      </c>
      <c r="J42" s="24">
        <f t="shared" si="60"/>
        <v>329.50508400000001</v>
      </c>
      <c r="K42" s="24">
        <f t="shared" si="60"/>
        <v>336.09518568000004</v>
      </c>
      <c r="L42" s="24">
        <f t="shared" si="60"/>
        <v>342.81708939360004</v>
      </c>
      <c r="M42" s="24">
        <f t="shared" si="60"/>
        <v>349.67343118147204</v>
      </c>
      <c r="N42" s="24">
        <f t="shared" si="60"/>
        <v>356.66689980510148</v>
      </c>
      <c r="O42" s="24">
        <f t="shared" si="60"/>
        <v>363.80023780120354</v>
      </c>
      <c r="P42" s="24">
        <f t="shared" si="60"/>
        <v>371.0762425572276</v>
      </c>
      <c r="Q42" s="24">
        <f t="shared" si="60"/>
        <v>378.49776740837217</v>
      </c>
      <c r="R42" s="24">
        <f t="shared" si="60"/>
        <v>386.06772275653964</v>
      </c>
      <c r="S42" s="24">
        <f t="shared" si="60"/>
        <v>393.78907721167042</v>
      </c>
      <c r="T42" s="24">
        <f t="shared" si="60"/>
        <v>401.66485875590382</v>
      </c>
      <c r="U42" s="24">
        <f t="shared" si="60"/>
        <v>409.69815593102192</v>
      </c>
      <c r="V42" s="24">
        <f t="shared" si="60"/>
        <v>417.89211904964236</v>
      </c>
      <c r="W42" s="24">
        <f t="shared" si="60"/>
        <v>426.24996143063521</v>
      </c>
      <c r="X42" s="24">
        <f t="shared" si="60"/>
        <v>434.77496065924794</v>
      </c>
      <c r="Y42" s="24">
        <f t="shared" si="60"/>
        <v>443.47045987243291</v>
      </c>
      <c r="Z42" s="24">
        <f t="shared" si="60"/>
        <v>452.33986906988156</v>
      </c>
      <c r="AA42" s="24">
        <f t="shared" si="60"/>
        <v>461.38666645127921</v>
      </c>
      <c r="AB42" s="24">
        <f t="shared" si="60"/>
        <v>470.61439978030478</v>
      </c>
      <c r="AC42" s="24">
        <f t="shared" si="60"/>
        <v>480.02668777591089</v>
      </c>
      <c r="AD42" s="24">
        <f t="shared" si="60"/>
        <v>489.62722153142909</v>
      </c>
      <c r="AE42" s="24">
        <f t="shared" si="60"/>
        <v>499.41976596205768</v>
      </c>
      <c r="AF42" s="24">
        <f t="shared" si="60"/>
        <v>509.40816128129882</v>
      </c>
      <c r="AG42" s="24">
        <f t="shared" si="60"/>
        <v>519.59632450692482</v>
      </c>
      <c r="AH42" s="24">
        <f t="shared" si="60"/>
        <v>529.98825099706335</v>
      </c>
    </row>
    <row r="43" spans="1:34" ht="11.25" customHeight="1" x14ac:dyDescent="0.2">
      <c r="A43" s="23">
        <v>39</v>
      </c>
      <c r="B43" s="24">
        <v>105.6</v>
      </c>
      <c r="C43" s="24">
        <v>166.8</v>
      </c>
      <c r="D43" s="24">
        <v>207.4</v>
      </c>
      <c r="E43" s="24">
        <v>238.2</v>
      </c>
      <c r="F43" s="24">
        <v>277.8</v>
      </c>
      <c r="G43" s="24">
        <v>314.3</v>
      </c>
      <c r="H43" s="24">
        <f t="shared" ref="H43:AH43" si="61">G43*1.02</f>
        <v>320.58600000000001</v>
      </c>
      <c r="I43" s="24">
        <f t="shared" si="61"/>
        <v>326.99772000000002</v>
      </c>
      <c r="J43" s="24">
        <f t="shared" si="61"/>
        <v>333.53767440000001</v>
      </c>
      <c r="K43" s="24">
        <f t="shared" si="61"/>
        <v>340.20842788800002</v>
      </c>
      <c r="L43" s="24">
        <f t="shared" si="61"/>
        <v>347.01259644576004</v>
      </c>
      <c r="M43" s="24">
        <f t="shared" si="61"/>
        <v>353.95284837467523</v>
      </c>
      <c r="N43" s="24">
        <f t="shared" si="61"/>
        <v>361.03190534216873</v>
      </c>
      <c r="O43" s="24">
        <f t="shared" si="61"/>
        <v>368.25254344901208</v>
      </c>
      <c r="P43" s="24">
        <f t="shared" si="61"/>
        <v>375.61759431799231</v>
      </c>
      <c r="Q43" s="24">
        <f t="shared" si="61"/>
        <v>383.12994620435217</v>
      </c>
      <c r="R43" s="24">
        <f t="shared" si="61"/>
        <v>390.7925451284392</v>
      </c>
      <c r="S43" s="24">
        <f t="shared" si="61"/>
        <v>398.608396031008</v>
      </c>
      <c r="T43" s="24">
        <f t="shared" si="61"/>
        <v>406.58056395162816</v>
      </c>
      <c r="U43" s="24">
        <f t="shared" si="61"/>
        <v>414.71217523066076</v>
      </c>
      <c r="V43" s="24">
        <f t="shared" si="61"/>
        <v>423.006418735274</v>
      </c>
      <c r="W43" s="24">
        <f t="shared" si="61"/>
        <v>431.4665471099795</v>
      </c>
      <c r="X43" s="24">
        <f t="shared" si="61"/>
        <v>440.0958780521791</v>
      </c>
      <c r="Y43" s="24">
        <f t="shared" si="61"/>
        <v>448.89779561322268</v>
      </c>
      <c r="Z43" s="24">
        <f t="shared" si="61"/>
        <v>457.87575152548715</v>
      </c>
      <c r="AA43" s="24">
        <f t="shared" si="61"/>
        <v>467.03326655599687</v>
      </c>
      <c r="AB43" s="24">
        <f t="shared" si="61"/>
        <v>476.37393188711684</v>
      </c>
      <c r="AC43" s="24">
        <f t="shared" si="61"/>
        <v>485.90141052485916</v>
      </c>
      <c r="AD43" s="24">
        <f t="shared" si="61"/>
        <v>495.61943873535637</v>
      </c>
      <c r="AE43" s="24">
        <f t="shared" si="61"/>
        <v>505.53182751006352</v>
      </c>
      <c r="AF43" s="24">
        <f t="shared" si="61"/>
        <v>515.64246406026484</v>
      </c>
      <c r="AG43" s="24">
        <f t="shared" si="61"/>
        <v>525.95531334147017</v>
      </c>
      <c r="AH43" s="24">
        <f t="shared" si="61"/>
        <v>536.47441960829963</v>
      </c>
    </row>
    <row r="44" spans="1:34" ht="11.25" customHeight="1" x14ac:dyDescent="0.2">
      <c r="A44" s="23">
        <v>40</v>
      </c>
      <c r="B44" s="24">
        <v>114</v>
      </c>
      <c r="C44" s="24">
        <v>155</v>
      </c>
      <c r="D44" s="24">
        <v>202</v>
      </c>
      <c r="E44" s="24">
        <v>240</v>
      </c>
      <c r="F44" s="24">
        <v>284</v>
      </c>
      <c r="G44" s="24">
        <v>346</v>
      </c>
      <c r="H44" s="24">
        <f t="shared" ref="H44:AH44" si="62">G44*1.02</f>
        <v>352.92</v>
      </c>
      <c r="I44" s="24">
        <f t="shared" si="62"/>
        <v>359.97840000000002</v>
      </c>
      <c r="J44" s="24">
        <f t="shared" si="62"/>
        <v>367.17796800000002</v>
      </c>
      <c r="K44" s="24">
        <f t="shared" si="62"/>
        <v>374.52152736000005</v>
      </c>
      <c r="L44" s="24">
        <f t="shared" si="62"/>
        <v>382.01195790720004</v>
      </c>
      <c r="M44" s="24">
        <f t="shared" si="62"/>
        <v>389.65219706534407</v>
      </c>
      <c r="N44" s="24">
        <f t="shared" si="62"/>
        <v>397.44524100665097</v>
      </c>
      <c r="O44" s="24">
        <f t="shared" si="62"/>
        <v>405.39414582678398</v>
      </c>
      <c r="P44" s="24">
        <f t="shared" si="62"/>
        <v>413.50202874331967</v>
      </c>
      <c r="Q44" s="24">
        <f t="shared" si="62"/>
        <v>421.77206931818608</v>
      </c>
      <c r="R44" s="24">
        <f t="shared" si="62"/>
        <v>430.2075107045498</v>
      </c>
      <c r="S44" s="24">
        <f t="shared" si="62"/>
        <v>438.81166091864083</v>
      </c>
      <c r="T44" s="24">
        <f t="shared" si="62"/>
        <v>447.58789413701368</v>
      </c>
      <c r="U44" s="24">
        <f t="shared" si="62"/>
        <v>456.53965201975393</v>
      </c>
      <c r="V44" s="24">
        <f t="shared" si="62"/>
        <v>465.67044506014901</v>
      </c>
      <c r="W44" s="24">
        <f t="shared" si="62"/>
        <v>474.983853961352</v>
      </c>
      <c r="X44" s="24">
        <f t="shared" si="62"/>
        <v>484.48353104057907</v>
      </c>
      <c r="Y44" s="24">
        <f t="shared" si="62"/>
        <v>494.17320166139064</v>
      </c>
      <c r="Z44" s="24">
        <f t="shared" si="62"/>
        <v>504.05666569461846</v>
      </c>
      <c r="AA44" s="24">
        <f t="shared" si="62"/>
        <v>514.1377990085108</v>
      </c>
      <c r="AB44" s="24">
        <f t="shared" si="62"/>
        <v>524.42055498868103</v>
      </c>
      <c r="AC44" s="24">
        <f t="shared" si="62"/>
        <v>534.90896608845469</v>
      </c>
      <c r="AD44" s="24">
        <f t="shared" si="62"/>
        <v>545.60714541022378</v>
      </c>
      <c r="AE44" s="24">
        <f t="shared" si="62"/>
        <v>556.51928831842827</v>
      </c>
      <c r="AF44" s="24">
        <f t="shared" si="62"/>
        <v>567.64967408479686</v>
      </c>
      <c r="AG44" s="24">
        <f t="shared" si="62"/>
        <v>579.00266756649285</v>
      </c>
      <c r="AH44" s="24">
        <f t="shared" si="62"/>
        <v>590.58272091782271</v>
      </c>
    </row>
    <row r="45" spans="1:34" ht="11.25" customHeight="1" x14ac:dyDescent="0.2">
      <c r="A45" s="23">
        <v>41</v>
      </c>
      <c r="B45" s="24">
        <v>73.900000000000006</v>
      </c>
      <c r="C45" s="24">
        <v>120.7</v>
      </c>
      <c r="D45" s="24">
        <v>148.1</v>
      </c>
      <c r="E45" s="24">
        <v>167.2</v>
      </c>
      <c r="F45" s="24">
        <v>191</v>
      </c>
      <c r="G45" s="24">
        <v>213.5</v>
      </c>
      <c r="H45" s="24">
        <f t="shared" ref="H45:AH45" si="63">G45*1.02</f>
        <v>217.77</v>
      </c>
      <c r="I45" s="24">
        <f t="shared" si="63"/>
        <v>222.12540000000001</v>
      </c>
      <c r="J45" s="24">
        <f t="shared" si="63"/>
        <v>226.56790800000002</v>
      </c>
      <c r="K45" s="24">
        <f t="shared" si="63"/>
        <v>231.09926616000001</v>
      </c>
      <c r="L45" s="24">
        <f t="shared" si="63"/>
        <v>235.72125148320001</v>
      </c>
      <c r="M45" s="24">
        <f t="shared" si="63"/>
        <v>240.43567651286401</v>
      </c>
      <c r="N45" s="24">
        <f t="shared" si="63"/>
        <v>245.24439004312129</v>
      </c>
      <c r="O45" s="24">
        <f t="shared" si="63"/>
        <v>250.14927784398373</v>
      </c>
      <c r="P45" s="24">
        <f t="shared" si="63"/>
        <v>255.1522634008634</v>
      </c>
      <c r="Q45" s="24">
        <f t="shared" si="63"/>
        <v>260.25530866888067</v>
      </c>
      <c r="R45" s="24">
        <f t="shared" si="63"/>
        <v>265.46041484225827</v>
      </c>
      <c r="S45" s="24">
        <f t="shared" si="63"/>
        <v>270.76962313910343</v>
      </c>
      <c r="T45" s="24">
        <f t="shared" si="63"/>
        <v>276.18501560188548</v>
      </c>
      <c r="U45" s="24">
        <f t="shared" si="63"/>
        <v>281.70871591392319</v>
      </c>
      <c r="V45" s="24">
        <f t="shared" si="63"/>
        <v>287.34289023220168</v>
      </c>
      <c r="W45" s="24">
        <f t="shared" si="63"/>
        <v>293.08974803684572</v>
      </c>
      <c r="X45" s="24">
        <f t="shared" si="63"/>
        <v>298.95154299758264</v>
      </c>
      <c r="Y45" s="24">
        <f t="shared" si="63"/>
        <v>304.93057385753428</v>
      </c>
      <c r="Z45" s="24">
        <f t="shared" si="63"/>
        <v>311.029185334685</v>
      </c>
      <c r="AA45" s="24">
        <f t="shared" si="63"/>
        <v>317.24976904137873</v>
      </c>
      <c r="AB45" s="24">
        <f t="shared" si="63"/>
        <v>323.59476442220631</v>
      </c>
      <c r="AC45" s="24">
        <f t="shared" si="63"/>
        <v>330.06665971065047</v>
      </c>
      <c r="AD45" s="24">
        <f t="shared" si="63"/>
        <v>336.66799290486347</v>
      </c>
      <c r="AE45" s="24">
        <f t="shared" si="63"/>
        <v>343.40135276296076</v>
      </c>
      <c r="AF45" s="24">
        <f t="shared" si="63"/>
        <v>350.26937981821999</v>
      </c>
      <c r="AG45" s="24">
        <f t="shared" si="63"/>
        <v>357.2747674145844</v>
      </c>
      <c r="AH45" s="24">
        <f t="shared" si="63"/>
        <v>364.42026276287612</v>
      </c>
    </row>
    <row r="46" spans="1:34" ht="11.25" customHeight="1" x14ac:dyDescent="0.2">
      <c r="A46" s="23">
        <v>42</v>
      </c>
      <c r="B46" s="24">
        <v>94.2</v>
      </c>
      <c r="C46" s="24">
        <v>152</v>
      </c>
      <c r="D46" s="24">
        <v>196</v>
      </c>
      <c r="E46" s="24">
        <v>223.3</v>
      </c>
      <c r="F46" s="24">
        <v>257.8</v>
      </c>
      <c r="G46" s="24">
        <v>287.5</v>
      </c>
      <c r="H46" s="24">
        <f t="shared" ref="H46:AH46" si="64">G46*1.02</f>
        <v>293.25</v>
      </c>
      <c r="I46" s="24">
        <f t="shared" si="64"/>
        <v>299.11500000000001</v>
      </c>
      <c r="J46" s="24">
        <f t="shared" si="64"/>
        <v>305.09730000000002</v>
      </c>
      <c r="K46" s="24">
        <f t="shared" si="64"/>
        <v>311.19924600000002</v>
      </c>
      <c r="L46" s="24">
        <f t="shared" si="64"/>
        <v>317.42323092000004</v>
      </c>
      <c r="M46" s="24">
        <f t="shared" si="64"/>
        <v>323.77169553840002</v>
      </c>
      <c r="N46" s="24">
        <f t="shared" si="64"/>
        <v>330.24712944916803</v>
      </c>
      <c r="O46" s="24">
        <f t="shared" si="64"/>
        <v>336.85207203815139</v>
      </c>
      <c r="P46" s="24">
        <f t="shared" si="64"/>
        <v>343.58911347891444</v>
      </c>
      <c r="Q46" s="24">
        <f t="shared" si="64"/>
        <v>350.46089574849276</v>
      </c>
      <c r="R46" s="24">
        <f t="shared" si="64"/>
        <v>357.4701136634626</v>
      </c>
      <c r="S46" s="24">
        <f t="shared" si="64"/>
        <v>364.61951593673183</v>
      </c>
      <c r="T46" s="24">
        <f t="shared" si="64"/>
        <v>371.91190625546648</v>
      </c>
      <c r="U46" s="24">
        <f t="shared" si="64"/>
        <v>379.35014438057578</v>
      </c>
      <c r="V46" s="24">
        <f t="shared" si="64"/>
        <v>386.93714726818729</v>
      </c>
      <c r="W46" s="24">
        <f t="shared" si="64"/>
        <v>394.67589021355104</v>
      </c>
      <c r="X46" s="24">
        <f t="shared" si="64"/>
        <v>402.56940801782207</v>
      </c>
      <c r="Y46" s="24">
        <f t="shared" si="64"/>
        <v>410.62079617817852</v>
      </c>
      <c r="Z46" s="24">
        <f t="shared" si="64"/>
        <v>418.83321210174211</v>
      </c>
      <c r="AA46" s="24">
        <f t="shared" si="64"/>
        <v>427.20987634377695</v>
      </c>
      <c r="AB46" s="24">
        <f t="shared" si="64"/>
        <v>435.75407387065252</v>
      </c>
      <c r="AC46" s="24">
        <f t="shared" si="64"/>
        <v>444.46915534806556</v>
      </c>
      <c r="AD46" s="24">
        <f t="shared" si="64"/>
        <v>453.35853845502686</v>
      </c>
      <c r="AE46" s="24">
        <f t="shared" si="64"/>
        <v>462.42570922412739</v>
      </c>
      <c r="AF46" s="24">
        <f t="shared" si="64"/>
        <v>471.67422340860992</v>
      </c>
      <c r="AG46" s="24">
        <f t="shared" si="64"/>
        <v>481.10770787678211</v>
      </c>
      <c r="AH46" s="24">
        <f t="shared" si="64"/>
        <v>490.72986203431776</v>
      </c>
    </row>
    <row r="47" spans="1:34" ht="11.25" customHeight="1" x14ac:dyDescent="0.2">
      <c r="A47" s="23">
        <v>43</v>
      </c>
      <c r="B47" s="24">
        <v>102.8</v>
      </c>
      <c r="C47" s="24">
        <v>170.4</v>
      </c>
      <c r="D47" s="24">
        <v>212.83931999999999</v>
      </c>
      <c r="E47" s="24">
        <v>237.8</v>
      </c>
      <c r="F47" s="24">
        <v>273.5</v>
      </c>
      <c r="G47" s="24">
        <v>304.39999999999998</v>
      </c>
      <c r="H47" s="24">
        <f t="shared" ref="H47:AH47" si="65">G47*1.02</f>
        <v>310.488</v>
      </c>
      <c r="I47" s="24">
        <f t="shared" si="65"/>
        <v>316.69776000000002</v>
      </c>
      <c r="J47" s="24">
        <f t="shared" si="65"/>
        <v>323.03171520000001</v>
      </c>
      <c r="K47" s="24">
        <f t="shared" si="65"/>
        <v>329.492349504</v>
      </c>
      <c r="L47" s="24">
        <f t="shared" si="65"/>
        <v>336.08219649407999</v>
      </c>
      <c r="M47" s="24">
        <f t="shared" si="65"/>
        <v>342.80384042396162</v>
      </c>
      <c r="N47" s="24">
        <f t="shared" si="65"/>
        <v>349.65991723244088</v>
      </c>
      <c r="O47" s="24">
        <f t="shared" si="65"/>
        <v>356.65311557708969</v>
      </c>
      <c r="P47" s="24">
        <f t="shared" si="65"/>
        <v>363.78617788863147</v>
      </c>
      <c r="Q47" s="24">
        <f t="shared" si="65"/>
        <v>371.06190144640408</v>
      </c>
      <c r="R47" s="24">
        <f t="shared" si="65"/>
        <v>378.48313947533217</v>
      </c>
      <c r="S47" s="24">
        <f t="shared" si="65"/>
        <v>386.05280226483882</v>
      </c>
      <c r="T47" s="24">
        <f t="shared" si="65"/>
        <v>393.77385831013561</v>
      </c>
      <c r="U47" s="24">
        <f t="shared" si="65"/>
        <v>401.64933547633831</v>
      </c>
      <c r="V47" s="24">
        <f t="shared" si="65"/>
        <v>409.68232218586508</v>
      </c>
      <c r="W47" s="24">
        <f t="shared" si="65"/>
        <v>417.87596862958236</v>
      </c>
      <c r="X47" s="24">
        <f t="shared" si="65"/>
        <v>426.233488002174</v>
      </c>
      <c r="Y47" s="24">
        <f t="shared" si="65"/>
        <v>434.75815776221748</v>
      </c>
      <c r="Z47" s="24">
        <f t="shared" si="65"/>
        <v>443.45332091746184</v>
      </c>
      <c r="AA47" s="24">
        <f t="shared" si="65"/>
        <v>452.32238733581107</v>
      </c>
      <c r="AB47" s="24">
        <f t="shared" si="65"/>
        <v>461.36883508252731</v>
      </c>
      <c r="AC47" s="24">
        <f t="shared" si="65"/>
        <v>470.59621178417785</v>
      </c>
      <c r="AD47" s="24">
        <f t="shared" si="65"/>
        <v>480.00813601986141</v>
      </c>
      <c r="AE47" s="24">
        <f t="shared" si="65"/>
        <v>489.60829874025865</v>
      </c>
      <c r="AF47" s="24">
        <f t="shared" si="65"/>
        <v>499.40046471506383</v>
      </c>
      <c r="AG47" s="24">
        <f t="shared" si="65"/>
        <v>509.3884740093651</v>
      </c>
      <c r="AH47" s="24">
        <f t="shared" si="65"/>
        <v>519.57624348955244</v>
      </c>
    </row>
    <row r="48" spans="1:34" ht="11.25" customHeight="1" x14ac:dyDescent="0.2">
      <c r="A48" s="23">
        <v>44</v>
      </c>
      <c r="B48" s="24">
        <v>89</v>
      </c>
      <c r="C48" s="24">
        <v>148</v>
      </c>
      <c r="D48" s="24">
        <v>186.1</v>
      </c>
      <c r="E48" s="24">
        <v>209</v>
      </c>
      <c r="F48" s="24">
        <v>240.8</v>
      </c>
      <c r="G48" s="24">
        <v>268.60000000000002</v>
      </c>
      <c r="H48" s="24">
        <f t="shared" ref="H48:AH48" si="66">G48*1.02</f>
        <v>273.97200000000004</v>
      </c>
      <c r="I48" s="24">
        <f t="shared" si="66"/>
        <v>279.45144000000005</v>
      </c>
      <c r="J48" s="24">
        <f t="shared" si="66"/>
        <v>285.04046880000004</v>
      </c>
      <c r="K48" s="24">
        <f t="shared" si="66"/>
        <v>290.74127817600004</v>
      </c>
      <c r="L48" s="24">
        <f t="shared" si="66"/>
        <v>296.55610373952004</v>
      </c>
      <c r="M48" s="24">
        <f t="shared" si="66"/>
        <v>302.48722581431042</v>
      </c>
      <c r="N48" s="24">
        <f t="shared" si="66"/>
        <v>308.53697033059666</v>
      </c>
      <c r="O48" s="24">
        <f t="shared" si="66"/>
        <v>314.70770973720857</v>
      </c>
      <c r="P48" s="24">
        <f t="shared" si="66"/>
        <v>321.00186393195276</v>
      </c>
      <c r="Q48" s="24">
        <f t="shared" si="66"/>
        <v>327.42190121059184</v>
      </c>
      <c r="R48" s="24">
        <f t="shared" si="66"/>
        <v>333.9703392348037</v>
      </c>
      <c r="S48" s="24">
        <f t="shared" si="66"/>
        <v>340.64974601949979</v>
      </c>
      <c r="T48" s="24">
        <f t="shared" si="66"/>
        <v>347.46274093988978</v>
      </c>
      <c r="U48" s="24">
        <f t="shared" si="66"/>
        <v>354.41199575868757</v>
      </c>
      <c r="V48" s="24">
        <f t="shared" si="66"/>
        <v>361.50023567386131</v>
      </c>
      <c r="W48" s="24">
        <f t="shared" si="66"/>
        <v>368.73024038733854</v>
      </c>
      <c r="X48" s="24">
        <f t="shared" si="66"/>
        <v>376.10484519508532</v>
      </c>
      <c r="Y48" s="24">
        <f t="shared" si="66"/>
        <v>383.62694209898706</v>
      </c>
      <c r="Z48" s="24">
        <f t="shared" si="66"/>
        <v>391.29948094096682</v>
      </c>
      <c r="AA48" s="24">
        <f t="shared" si="66"/>
        <v>399.12547055978615</v>
      </c>
      <c r="AB48" s="24">
        <f t="shared" si="66"/>
        <v>407.10797997098189</v>
      </c>
      <c r="AC48" s="24">
        <f t="shared" si="66"/>
        <v>415.25013957040153</v>
      </c>
      <c r="AD48" s="24">
        <f t="shared" si="66"/>
        <v>423.55514236180954</v>
      </c>
      <c r="AE48" s="24">
        <f t="shared" si="66"/>
        <v>432.02624520904573</v>
      </c>
      <c r="AF48" s="24">
        <f t="shared" si="66"/>
        <v>440.66677011322668</v>
      </c>
      <c r="AG48" s="24">
        <f t="shared" si="66"/>
        <v>449.48010551549123</v>
      </c>
      <c r="AH48" s="24">
        <f t="shared" si="66"/>
        <v>458.46970762580105</v>
      </c>
    </row>
    <row r="49" spans="1:34" ht="11.25" customHeight="1" x14ac:dyDescent="0.2">
      <c r="A49" s="23">
        <v>45</v>
      </c>
      <c r="B49" s="24">
        <v>70</v>
      </c>
      <c r="C49" s="24">
        <v>113.8</v>
      </c>
      <c r="D49" s="24">
        <v>138.4</v>
      </c>
      <c r="E49" s="24">
        <v>156.6</v>
      </c>
      <c r="F49" s="24">
        <v>178.3</v>
      </c>
      <c r="G49" s="24">
        <v>199.5</v>
      </c>
      <c r="H49" s="24">
        <f t="shared" ref="H49:AH49" si="67">G49*1.02</f>
        <v>203.49</v>
      </c>
      <c r="I49" s="24">
        <f t="shared" si="67"/>
        <v>207.55980000000002</v>
      </c>
      <c r="J49" s="24">
        <f t="shared" si="67"/>
        <v>211.71099600000002</v>
      </c>
      <c r="K49" s="24">
        <f t="shared" si="67"/>
        <v>215.94521592000004</v>
      </c>
      <c r="L49" s="24">
        <f t="shared" si="67"/>
        <v>220.26412023840004</v>
      </c>
      <c r="M49" s="24">
        <f t="shared" si="67"/>
        <v>224.66940264316804</v>
      </c>
      <c r="N49" s="24">
        <f t="shared" si="67"/>
        <v>229.16279069603141</v>
      </c>
      <c r="O49" s="24">
        <f t="shared" si="67"/>
        <v>233.74604650995204</v>
      </c>
      <c r="P49" s="24">
        <f t="shared" si="67"/>
        <v>238.42096744015109</v>
      </c>
      <c r="Q49" s="24">
        <f t="shared" si="67"/>
        <v>243.18938678895412</v>
      </c>
      <c r="R49" s="24">
        <f t="shared" si="67"/>
        <v>248.05317452473321</v>
      </c>
      <c r="S49" s="24">
        <f t="shared" si="67"/>
        <v>253.01423801522787</v>
      </c>
      <c r="T49" s="24">
        <f t="shared" si="67"/>
        <v>258.07452277553244</v>
      </c>
      <c r="U49" s="24">
        <f t="shared" si="67"/>
        <v>263.2360132310431</v>
      </c>
      <c r="V49" s="24">
        <f t="shared" si="67"/>
        <v>268.50073349566395</v>
      </c>
      <c r="W49" s="24">
        <f t="shared" si="67"/>
        <v>273.87074816557725</v>
      </c>
      <c r="X49" s="24">
        <f t="shared" si="67"/>
        <v>279.34816312888881</v>
      </c>
      <c r="Y49" s="24">
        <f t="shared" si="67"/>
        <v>284.93512639146661</v>
      </c>
      <c r="Z49" s="24">
        <f t="shared" si="67"/>
        <v>290.63382891929592</v>
      </c>
      <c r="AA49" s="24">
        <f t="shared" si="67"/>
        <v>296.44650549768187</v>
      </c>
      <c r="AB49" s="24">
        <f t="shared" si="67"/>
        <v>302.3754356076355</v>
      </c>
      <c r="AC49" s="24">
        <f t="shared" si="67"/>
        <v>308.4229443197882</v>
      </c>
      <c r="AD49" s="24">
        <f t="shared" si="67"/>
        <v>314.591403206184</v>
      </c>
      <c r="AE49" s="24">
        <f t="shared" si="67"/>
        <v>320.8832312703077</v>
      </c>
      <c r="AF49" s="24">
        <f t="shared" si="67"/>
        <v>327.30089589571384</v>
      </c>
      <c r="AG49" s="24">
        <f t="shared" si="67"/>
        <v>333.84691381362813</v>
      </c>
      <c r="AH49" s="24">
        <f t="shared" si="67"/>
        <v>340.52385208990069</v>
      </c>
    </row>
    <row r="50" spans="1:34" ht="11.25" customHeight="1" x14ac:dyDescent="0.2">
      <c r="A50" s="23">
        <v>46</v>
      </c>
      <c r="B50" s="24">
        <v>98</v>
      </c>
      <c r="C50" s="24">
        <v>127</v>
      </c>
      <c r="D50" s="24">
        <v>153</v>
      </c>
      <c r="E50" s="24">
        <v>187</v>
      </c>
      <c r="F50" s="24">
        <v>213</v>
      </c>
      <c r="G50" s="24">
        <v>341.5</v>
      </c>
      <c r="H50" s="24">
        <f t="shared" ref="H50:AH50" si="68">G50*1.02</f>
        <v>348.33</v>
      </c>
      <c r="I50" s="24">
        <f t="shared" si="68"/>
        <v>355.29660000000001</v>
      </c>
      <c r="J50" s="24">
        <f t="shared" si="68"/>
        <v>362.40253200000001</v>
      </c>
      <c r="K50" s="24">
        <f t="shared" si="68"/>
        <v>369.65058264000004</v>
      </c>
      <c r="L50" s="24">
        <f t="shared" si="68"/>
        <v>377.04359429280004</v>
      </c>
      <c r="M50" s="24">
        <f t="shared" si="68"/>
        <v>384.58446617865604</v>
      </c>
      <c r="N50" s="24">
        <f t="shared" si="68"/>
        <v>392.27615550222919</v>
      </c>
      <c r="O50" s="24">
        <f t="shared" si="68"/>
        <v>400.1216786122738</v>
      </c>
      <c r="P50" s="24">
        <f t="shared" si="68"/>
        <v>408.12411218451928</v>
      </c>
      <c r="Q50" s="24">
        <f t="shared" si="68"/>
        <v>416.2865944282097</v>
      </c>
      <c r="R50" s="24">
        <f t="shared" si="68"/>
        <v>424.61232631677387</v>
      </c>
      <c r="S50" s="24">
        <f t="shared" si="68"/>
        <v>433.10457284310934</v>
      </c>
      <c r="T50" s="24">
        <f t="shared" si="68"/>
        <v>441.76666429997152</v>
      </c>
      <c r="U50" s="24">
        <f t="shared" si="68"/>
        <v>450.60199758597093</v>
      </c>
      <c r="V50" s="24">
        <f t="shared" si="68"/>
        <v>459.61403753769036</v>
      </c>
      <c r="W50" s="24">
        <f t="shared" si="68"/>
        <v>468.80631828844417</v>
      </c>
      <c r="X50" s="24">
        <f t="shared" si="68"/>
        <v>478.18244465421304</v>
      </c>
      <c r="Y50" s="24">
        <f t="shared" si="68"/>
        <v>487.74609354729733</v>
      </c>
      <c r="Z50" s="24">
        <f t="shared" si="68"/>
        <v>497.5010154182433</v>
      </c>
      <c r="AA50" s="24">
        <f t="shared" si="68"/>
        <v>507.45103572660815</v>
      </c>
      <c r="AB50" s="24">
        <f t="shared" si="68"/>
        <v>517.60005644114028</v>
      </c>
      <c r="AC50" s="24">
        <f t="shared" si="68"/>
        <v>527.95205756996313</v>
      </c>
      <c r="AD50" s="24">
        <f t="shared" si="68"/>
        <v>538.51109872136237</v>
      </c>
      <c r="AE50" s="24">
        <f t="shared" si="68"/>
        <v>549.28132069578965</v>
      </c>
      <c r="AF50" s="24">
        <f t="shared" si="68"/>
        <v>560.26694710970548</v>
      </c>
      <c r="AG50" s="24">
        <f t="shared" si="68"/>
        <v>571.47228605189957</v>
      </c>
      <c r="AH50" s="24">
        <f t="shared" si="68"/>
        <v>582.90173177293752</v>
      </c>
    </row>
    <row r="51" spans="1:34" ht="11.25" customHeight="1" x14ac:dyDescent="0.2">
      <c r="A51" s="23">
        <v>47</v>
      </c>
      <c r="B51" s="24">
        <v>108.8</v>
      </c>
      <c r="C51" s="24">
        <v>183.9</v>
      </c>
      <c r="D51" s="24">
        <v>236.1</v>
      </c>
      <c r="E51" s="24">
        <v>263.89999999999998</v>
      </c>
      <c r="F51" s="24">
        <v>306</v>
      </c>
      <c r="G51" s="24">
        <v>340.9</v>
      </c>
      <c r="H51" s="24">
        <f t="shared" ref="H51:AH51" si="69">G51*1.02</f>
        <v>347.71799999999996</v>
      </c>
      <c r="I51" s="24">
        <f t="shared" si="69"/>
        <v>354.67235999999997</v>
      </c>
      <c r="J51" s="24">
        <f t="shared" si="69"/>
        <v>361.76580719999998</v>
      </c>
      <c r="K51" s="24">
        <f t="shared" si="69"/>
        <v>369.00112334400001</v>
      </c>
      <c r="L51" s="24">
        <f t="shared" si="69"/>
        <v>376.38114581088001</v>
      </c>
      <c r="M51" s="24">
        <f t="shared" si="69"/>
        <v>383.90876872709759</v>
      </c>
      <c r="N51" s="24">
        <f t="shared" si="69"/>
        <v>391.58694410163957</v>
      </c>
      <c r="O51" s="24">
        <f t="shared" si="69"/>
        <v>399.4186829836724</v>
      </c>
      <c r="P51" s="24">
        <f t="shared" si="69"/>
        <v>407.40705664334587</v>
      </c>
      <c r="Q51" s="24">
        <f t="shared" si="69"/>
        <v>415.55519777621276</v>
      </c>
      <c r="R51" s="24">
        <f t="shared" si="69"/>
        <v>423.86630173173705</v>
      </c>
      <c r="S51" s="24">
        <f t="shared" si="69"/>
        <v>432.34362776637181</v>
      </c>
      <c r="T51" s="24">
        <f t="shared" si="69"/>
        <v>440.99050032169924</v>
      </c>
      <c r="U51" s="24">
        <f t="shared" si="69"/>
        <v>449.81031032813326</v>
      </c>
      <c r="V51" s="24">
        <f t="shared" si="69"/>
        <v>458.8065165346959</v>
      </c>
      <c r="W51" s="24">
        <f t="shared" si="69"/>
        <v>467.98264686538982</v>
      </c>
      <c r="X51" s="24">
        <f t="shared" si="69"/>
        <v>477.34229980269765</v>
      </c>
      <c r="Y51" s="24">
        <f t="shared" si="69"/>
        <v>486.8891457987516</v>
      </c>
      <c r="Z51" s="24">
        <f t="shared" si="69"/>
        <v>496.62692871472666</v>
      </c>
      <c r="AA51" s="24">
        <f t="shared" si="69"/>
        <v>506.5594672890212</v>
      </c>
      <c r="AB51" s="24">
        <f t="shared" si="69"/>
        <v>516.6906566348016</v>
      </c>
      <c r="AC51" s="24">
        <f t="shared" si="69"/>
        <v>527.02446976749764</v>
      </c>
      <c r="AD51" s="24">
        <f t="shared" si="69"/>
        <v>537.56495916284757</v>
      </c>
      <c r="AE51" s="24">
        <f t="shared" si="69"/>
        <v>548.31625834610452</v>
      </c>
      <c r="AF51" s="24">
        <f t="shared" si="69"/>
        <v>559.28258351302657</v>
      </c>
      <c r="AG51" s="24">
        <f t="shared" si="69"/>
        <v>570.46823518328711</v>
      </c>
      <c r="AH51" s="24">
        <f t="shared" si="69"/>
        <v>581.87759988695291</v>
      </c>
    </row>
    <row r="52" spans="1:34" ht="11.25" customHeight="1" x14ac:dyDescent="0.2">
      <c r="A52" s="23">
        <v>48</v>
      </c>
      <c r="B52" s="24">
        <v>112</v>
      </c>
      <c r="C52" s="24">
        <v>155</v>
      </c>
      <c r="D52" s="24">
        <v>207</v>
      </c>
      <c r="E52" s="24">
        <v>242</v>
      </c>
      <c r="F52" s="24">
        <v>283</v>
      </c>
      <c r="G52" s="24">
        <v>341.5</v>
      </c>
      <c r="H52" s="24">
        <f t="shared" ref="H52:AH52" si="70">G52*1.02</f>
        <v>348.33</v>
      </c>
      <c r="I52" s="24">
        <f t="shared" si="70"/>
        <v>355.29660000000001</v>
      </c>
      <c r="J52" s="24">
        <f t="shared" si="70"/>
        <v>362.40253200000001</v>
      </c>
      <c r="K52" s="24">
        <f t="shared" si="70"/>
        <v>369.65058264000004</v>
      </c>
      <c r="L52" s="24">
        <f t="shared" si="70"/>
        <v>377.04359429280004</v>
      </c>
      <c r="M52" s="24">
        <f t="shared" si="70"/>
        <v>384.58446617865604</v>
      </c>
      <c r="N52" s="24">
        <f t="shared" si="70"/>
        <v>392.27615550222919</v>
      </c>
      <c r="O52" s="24">
        <f t="shared" si="70"/>
        <v>400.1216786122738</v>
      </c>
      <c r="P52" s="24">
        <f t="shared" si="70"/>
        <v>408.12411218451928</v>
      </c>
      <c r="Q52" s="24">
        <f t="shared" si="70"/>
        <v>416.2865944282097</v>
      </c>
      <c r="R52" s="24">
        <f t="shared" si="70"/>
        <v>424.61232631677387</v>
      </c>
      <c r="S52" s="24">
        <f t="shared" si="70"/>
        <v>433.10457284310934</v>
      </c>
      <c r="T52" s="24">
        <f t="shared" si="70"/>
        <v>441.76666429997152</v>
      </c>
      <c r="U52" s="24">
        <f t="shared" si="70"/>
        <v>450.60199758597093</v>
      </c>
      <c r="V52" s="24">
        <f t="shared" si="70"/>
        <v>459.61403753769036</v>
      </c>
      <c r="W52" s="24">
        <f t="shared" si="70"/>
        <v>468.80631828844417</v>
      </c>
      <c r="X52" s="24">
        <f t="shared" si="70"/>
        <v>478.18244465421304</v>
      </c>
      <c r="Y52" s="24">
        <f t="shared" si="70"/>
        <v>487.74609354729733</v>
      </c>
      <c r="Z52" s="24">
        <f t="shared" si="70"/>
        <v>497.5010154182433</v>
      </c>
      <c r="AA52" s="24">
        <f t="shared" si="70"/>
        <v>507.45103572660815</v>
      </c>
      <c r="AB52" s="24">
        <f t="shared" si="70"/>
        <v>517.60005644114028</v>
      </c>
      <c r="AC52" s="24">
        <f t="shared" si="70"/>
        <v>527.95205756996313</v>
      </c>
      <c r="AD52" s="24">
        <f t="shared" si="70"/>
        <v>538.51109872136237</v>
      </c>
      <c r="AE52" s="24">
        <f t="shared" si="70"/>
        <v>549.28132069578965</v>
      </c>
      <c r="AF52" s="24">
        <f t="shared" si="70"/>
        <v>560.26694710970548</v>
      </c>
      <c r="AG52" s="24">
        <f t="shared" si="70"/>
        <v>571.47228605189957</v>
      </c>
      <c r="AH52" s="24">
        <f t="shared" si="70"/>
        <v>582.90173177293752</v>
      </c>
    </row>
    <row r="53" spans="1:34" ht="11.25" customHeight="1" x14ac:dyDescent="0.2">
      <c r="A53" s="23">
        <v>49</v>
      </c>
      <c r="B53" s="24">
        <v>92.5</v>
      </c>
      <c r="C53" s="24">
        <v>140.6</v>
      </c>
      <c r="D53" s="24">
        <v>180.1</v>
      </c>
      <c r="E53" s="24">
        <v>213.9</v>
      </c>
      <c r="F53" s="24">
        <v>245.8</v>
      </c>
      <c r="G53" s="24">
        <v>277.89999999999998</v>
      </c>
      <c r="H53" s="24">
        <f t="shared" ref="H53:AH53" si="71">G53*1.02</f>
        <v>283.45799999999997</v>
      </c>
      <c r="I53" s="24">
        <f t="shared" si="71"/>
        <v>289.12715999999995</v>
      </c>
      <c r="J53" s="24">
        <f t="shared" si="71"/>
        <v>294.90970319999997</v>
      </c>
      <c r="K53" s="24">
        <f t="shared" si="71"/>
        <v>300.80789726399996</v>
      </c>
      <c r="L53" s="24">
        <f t="shared" si="71"/>
        <v>306.82405520927995</v>
      </c>
      <c r="M53" s="24">
        <f t="shared" si="71"/>
        <v>312.96053631346552</v>
      </c>
      <c r="N53" s="24">
        <f t="shared" si="71"/>
        <v>319.21974703973484</v>
      </c>
      <c r="O53" s="24">
        <f t="shared" si="71"/>
        <v>325.60414198052956</v>
      </c>
      <c r="P53" s="24">
        <f t="shared" si="71"/>
        <v>332.11622482014013</v>
      </c>
      <c r="Q53" s="24">
        <f t="shared" si="71"/>
        <v>338.75854931654294</v>
      </c>
      <c r="R53" s="24">
        <f t="shared" si="71"/>
        <v>345.5337203028738</v>
      </c>
      <c r="S53" s="24">
        <f t="shared" si="71"/>
        <v>352.44439470893127</v>
      </c>
      <c r="T53" s="24">
        <f t="shared" si="71"/>
        <v>359.49328260310989</v>
      </c>
      <c r="U53" s="24">
        <f t="shared" si="71"/>
        <v>366.68314825517211</v>
      </c>
      <c r="V53" s="24">
        <f t="shared" si="71"/>
        <v>374.01681122027554</v>
      </c>
      <c r="W53" s="24">
        <f t="shared" si="71"/>
        <v>381.49714744468105</v>
      </c>
      <c r="X53" s="24">
        <f t="shared" si="71"/>
        <v>389.12709039357469</v>
      </c>
      <c r="Y53" s="24">
        <f t="shared" si="71"/>
        <v>396.90963220144619</v>
      </c>
      <c r="Z53" s="24">
        <f t="shared" si="71"/>
        <v>404.84782484547515</v>
      </c>
      <c r="AA53" s="24">
        <f t="shared" si="71"/>
        <v>412.94478134238466</v>
      </c>
      <c r="AB53" s="24">
        <f t="shared" si="71"/>
        <v>421.20367696923233</v>
      </c>
      <c r="AC53" s="24">
        <f t="shared" si="71"/>
        <v>429.627750508617</v>
      </c>
      <c r="AD53" s="24">
        <f t="shared" si="71"/>
        <v>438.22030551878936</v>
      </c>
      <c r="AE53" s="24">
        <f t="shared" si="71"/>
        <v>446.98471162916513</v>
      </c>
      <c r="AF53" s="24">
        <f t="shared" si="71"/>
        <v>455.92440586174843</v>
      </c>
      <c r="AG53" s="24">
        <f t="shared" si="71"/>
        <v>465.04289397898339</v>
      </c>
      <c r="AH53" s="24">
        <f t="shared" si="71"/>
        <v>474.34375185856305</v>
      </c>
    </row>
    <row r="54" spans="1:34" ht="11.25" customHeight="1" x14ac:dyDescent="0.2">
      <c r="A54" s="23">
        <v>50</v>
      </c>
      <c r="B54" s="24">
        <v>82.6</v>
      </c>
      <c r="C54" s="24">
        <v>126.7</v>
      </c>
      <c r="D54" s="24">
        <v>163.4</v>
      </c>
      <c r="E54" s="24">
        <v>194.5</v>
      </c>
      <c r="F54" s="24">
        <v>224</v>
      </c>
      <c r="G54" s="24">
        <v>253.7</v>
      </c>
      <c r="H54" s="24">
        <f t="shared" ref="H54:AH54" si="72">G54*1.02</f>
        <v>258.774</v>
      </c>
      <c r="I54" s="24">
        <f t="shared" si="72"/>
        <v>263.94947999999999</v>
      </c>
      <c r="J54" s="24">
        <f t="shared" si="72"/>
        <v>269.22846959999998</v>
      </c>
      <c r="K54" s="24">
        <f t="shared" si="72"/>
        <v>274.61303899199999</v>
      </c>
      <c r="L54" s="24">
        <f t="shared" si="72"/>
        <v>280.10529977184001</v>
      </c>
      <c r="M54" s="24">
        <f t="shared" si="72"/>
        <v>285.70740576727684</v>
      </c>
      <c r="N54" s="24">
        <f t="shared" si="72"/>
        <v>291.42155388262239</v>
      </c>
      <c r="O54" s="24">
        <f t="shared" si="72"/>
        <v>297.24998496027484</v>
      </c>
      <c r="P54" s="24">
        <f t="shared" si="72"/>
        <v>303.19498465948033</v>
      </c>
      <c r="Q54" s="24">
        <f t="shared" si="72"/>
        <v>309.25888435266995</v>
      </c>
      <c r="R54" s="24">
        <f t="shared" si="72"/>
        <v>315.44406203972335</v>
      </c>
      <c r="S54" s="24">
        <f t="shared" si="72"/>
        <v>321.7529432805178</v>
      </c>
      <c r="T54" s="24">
        <f t="shared" si="72"/>
        <v>328.18800214612816</v>
      </c>
      <c r="U54" s="24">
        <f t="shared" si="72"/>
        <v>334.75176218905074</v>
      </c>
      <c r="V54" s="24">
        <f t="shared" si="72"/>
        <v>341.44679743283177</v>
      </c>
      <c r="W54" s="24">
        <f t="shared" si="72"/>
        <v>348.27573338148841</v>
      </c>
      <c r="X54" s="24">
        <f t="shared" si="72"/>
        <v>355.24124804911816</v>
      </c>
      <c r="Y54" s="24">
        <f t="shared" si="72"/>
        <v>362.3460730101005</v>
      </c>
      <c r="Z54" s="24">
        <f t="shared" si="72"/>
        <v>369.59299447030253</v>
      </c>
      <c r="AA54" s="24">
        <f t="shared" si="72"/>
        <v>376.98485435970861</v>
      </c>
      <c r="AB54" s="24">
        <f t="shared" si="72"/>
        <v>384.52455144690276</v>
      </c>
      <c r="AC54" s="24">
        <f t="shared" si="72"/>
        <v>392.21504247584085</v>
      </c>
      <c r="AD54" s="24">
        <f t="shared" si="72"/>
        <v>400.05934332535764</v>
      </c>
      <c r="AE54" s="24">
        <f t="shared" si="72"/>
        <v>408.06053019186481</v>
      </c>
      <c r="AF54" s="24">
        <f t="shared" si="72"/>
        <v>416.22174079570209</v>
      </c>
      <c r="AG54" s="24">
        <f t="shared" si="72"/>
        <v>424.54617561161615</v>
      </c>
      <c r="AH54" s="24">
        <f t="shared" si="72"/>
        <v>433.03709912384846</v>
      </c>
    </row>
    <row r="55" spans="1:34" ht="11.25" customHeight="1" x14ac:dyDescent="0.2">
      <c r="A55" s="23">
        <v>51</v>
      </c>
      <c r="B55" s="24">
        <v>86.8</v>
      </c>
      <c r="C55" s="24">
        <v>135.58124999999998</v>
      </c>
      <c r="D55" s="24">
        <v>169.2054</v>
      </c>
      <c r="E55" s="24">
        <v>199.6</v>
      </c>
      <c r="F55" s="24">
        <v>229.5</v>
      </c>
      <c r="G55" s="24">
        <v>260.10000000000002</v>
      </c>
      <c r="H55" s="24">
        <f t="shared" ref="H55:AH55" si="73">G55*1.02</f>
        <v>265.30200000000002</v>
      </c>
      <c r="I55" s="24">
        <f t="shared" si="73"/>
        <v>270.60804000000002</v>
      </c>
      <c r="J55" s="24">
        <f t="shared" si="73"/>
        <v>276.0202008</v>
      </c>
      <c r="K55" s="24">
        <f t="shared" si="73"/>
        <v>281.54060481599998</v>
      </c>
      <c r="L55" s="24">
        <f t="shared" si="73"/>
        <v>287.17141691232001</v>
      </c>
      <c r="M55" s="24">
        <f t="shared" si="73"/>
        <v>292.91484525056643</v>
      </c>
      <c r="N55" s="24">
        <f t="shared" si="73"/>
        <v>298.77314215557777</v>
      </c>
      <c r="O55" s="24">
        <f t="shared" si="73"/>
        <v>304.74860499868936</v>
      </c>
      <c r="P55" s="24">
        <f t="shared" si="73"/>
        <v>310.84357709866316</v>
      </c>
      <c r="Q55" s="24">
        <f t="shared" si="73"/>
        <v>317.06044864063642</v>
      </c>
      <c r="R55" s="24">
        <f t="shared" si="73"/>
        <v>323.40165761344917</v>
      </c>
      <c r="S55" s="24">
        <f t="shared" si="73"/>
        <v>329.86969076571819</v>
      </c>
      <c r="T55" s="24">
        <f t="shared" si="73"/>
        <v>336.46708458103257</v>
      </c>
      <c r="U55" s="24">
        <f t="shared" si="73"/>
        <v>343.19642627265324</v>
      </c>
      <c r="V55" s="24">
        <f t="shared" si="73"/>
        <v>350.06035479810629</v>
      </c>
      <c r="W55" s="24">
        <f t="shared" si="73"/>
        <v>357.0615618940684</v>
      </c>
      <c r="X55" s="24">
        <f t="shared" si="73"/>
        <v>364.20279313194976</v>
      </c>
      <c r="Y55" s="24">
        <f t="shared" si="73"/>
        <v>371.48684899458874</v>
      </c>
      <c r="Z55" s="24">
        <f t="shared" si="73"/>
        <v>378.91658597448054</v>
      </c>
      <c r="AA55" s="24">
        <f t="shared" si="73"/>
        <v>386.49491769397014</v>
      </c>
      <c r="AB55" s="24">
        <f t="shared" si="73"/>
        <v>394.22481604784957</v>
      </c>
      <c r="AC55" s="24">
        <f t="shared" si="73"/>
        <v>402.10931236880657</v>
      </c>
      <c r="AD55" s="24">
        <f t="shared" si="73"/>
        <v>410.15149861618272</v>
      </c>
      <c r="AE55" s="24">
        <f t="shared" si="73"/>
        <v>418.35452858850635</v>
      </c>
      <c r="AF55" s="24">
        <f t="shared" si="73"/>
        <v>426.72161916027648</v>
      </c>
      <c r="AG55" s="24">
        <f t="shared" si="73"/>
        <v>435.25605154348199</v>
      </c>
      <c r="AH55" s="24">
        <f t="shared" si="73"/>
        <v>443.96117257435162</v>
      </c>
    </row>
    <row r="56" spans="1:34" ht="11.25" customHeight="1" x14ac:dyDescent="0.2">
      <c r="A56" s="23">
        <v>52</v>
      </c>
      <c r="B56" s="24">
        <v>98.4</v>
      </c>
      <c r="C56" s="24">
        <v>141.00449999999998</v>
      </c>
      <c r="D56" s="24">
        <v>183.08892</v>
      </c>
      <c r="E56" s="24">
        <v>215.84535</v>
      </c>
      <c r="F56" s="24">
        <v>275.3</v>
      </c>
      <c r="G56" s="24">
        <v>309.8</v>
      </c>
      <c r="H56" s="24">
        <f t="shared" ref="H56:AH56" si="74">G56*1.02</f>
        <v>315.99600000000004</v>
      </c>
      <c r="I56" s="24">
        <f t="shared" si="74"/>
        <v>322.31592000000006</v>
      </c>
      <c r="J56" s="24">
        <f t="shared" si="74"/>
        <v>328.76223840000006</v>
      </c>
      <c r="K56" s="24">
        <f t="shared" si="74"/>
        <v>335.33748316800006</v>
      </c>
      <c r="L56" s="24">
        <f t="shared" si="74"/>
        <v>342.04423283136009</v>
      </c>
      <c r="M56" s="24">
        <f t="shared" si="74"/>
        <v>348.88511748798732</v>
      </c>
      <c r="N56" s="24">
        <f t="shared" si="74"/>
        <v>355.86281983774705</v>
      </c>
      <c r="O56" s="24">
        <f t="shared" si="74"/>
        <v>362.98007623450201</v>
      </c>
      <c r="P56" s="24">
        <f t="shared" si="74"/>
        <v>370.23967775919203</v>
      </c>
      <c r="Q56" s="24">
        <f t="shared" si="74"/>
        <v>377.64447131437589</v>
      </c>
      <c r="R56" s="24">
        <f t="shared" si="74"/>
        <v>385.19736074066344</v>
      </c>
      <c r="S56" s="24">
        <f t="shared" si="74"/>
        <v>392.90130795547674</v>
      </c>
      <c r="T56" s="24">
        <f t="shared" si="74"/>
        <v>400.7593341145863</v>
      </c>
      <c r="U56" s="24">
        <f t="shared" si="74"/>
        <v>408.77452079687805</v>
      </c>
      <c r="V56" s="24">
        <f t="shared" si="74"/>
        <v>416.95001121281564</v>
      </c>
      <c r="W56" s="24">
        <f t="shared" si="74"/>
        <v>425.28901143707196</v>
      </c>
      <c r="X56" s="24">
        <f t="shared" si="74"/>
        <v>433.79479166581342</v>
      </c>
      <c r="Y56" s="24">
        <f t="shared" si="74"/>
        <v>442.47068749912972</v>
      </c>
      <c r="Z56" s="24">
        <f t="shared" si="74"/>
        <v>451.32010124911233</v>
      </c>
      <c r="AA56" s="24">
        <f t="shared" si="74"/>
        <v>460.34650327409457</v>
      </c>
      <c r="AB56" s="24">
        <f t="shared" si="74"/>
        <v>469.55343333957649</v>
      </c>
      <c r="AC56" s="24">
        <f t="shared" si="74"/>
        <v>478.944502006368</v>
      </c>
      <c r="AD56" s="24">
        <f t="shared" si="74"/>
        <v>488.52339204649536</v>
      </c>
      <c r="AE56" s="24">
        <f t="shared" si="74"/>
        <v>498.2938598874253</v>
      </c>
      <c r="AF56" s="24">
        <f t="shared" si="74"/>
        <v>508.25973708517381</v>
      </c>
      <c r="AG56" s="24">
        <f t="shared" si="74"/>
        <v>518.42493182687724</v>
      </c>
      <c r="AH56" s="24">
        <f t="shared" si="74"/>
        <v>528.79343046341478</v>
      </c>
    </row>
    <row r="57" spans="1:34" ht="11.25" customHeight="1" x14ac:dyDescent="0.2">
      <c r="A57" s="23">
        <v>53</v>
      </c>
      <c r="B57" s="24">
        <v>82.6</v>
      </c>
      <c r="C57" s="24">
        <v>126.7</v>
      </c>
      <c r="D57" s="24">
        <v>163.4</v>
      </c>
      <c r="E57" s="24">
        <v>194.5</v>
      </c>
      <c r="F57" s="24">
        <v>224</v>
      </c>
      <c r="G57" s="24">
        <v>253.7</v>
      </c>
      <c r="H57" s="24">
        <f t="shared" ref="H57:AH57" si="75">G57*1.02</f>
        <v>258.774</v>
      </c>
      <c r="I57" s="24">
        <f t="shared" si="75"/>
        <v>263.94947999999999</v>
      </c>
      <c r="J57" s="24">
        <f t="shared" si="75"/>
        <v>269.22846959999998</v>
      </c>
      <c r="K57" s="24">
        <f t="shared" si="75"/>
        <v>274.61303899199999</v>
      </c>
      <c r="L57" s="24">
        <f t="shared" si="75"/>
        <v>280.10529977184001</v>
      </c>
      <c r="M57" s="24">
        <f t="shared" si="75"/>
        <v>285.70740576727684</v>
      </c>
      <c r="N57" s="24">
        <f t="shared" si="75"/>
        <v>291.42155388262239</v>
      </c>
      <c r="O57" s="24">
        <f t="shared" si="75"/>
        <v>297.24998496027484</v>
      </c>
      <c r="P57" s="24">
        <f t="shared" si="75"/>
        <v>303.19498465948033</v>
      </c>
      <c r="Q57" s="24">
        <f t="shared" si="75"/>
        <v>309.25888435266995</v>
      </c>
      <c r="R57" s="24">
        <f t="shared" si="75"/>
        <v>315.44406203972335</v>
      </c>
      <c r="S57" s="24">
        <f t="shared" si="75"/>
        <v>321.7529432805178</v>
      </c>
      <c r="T57" s="24">
        <f t="shared" si="75"/>
        <v>328.18800214612816</v>
      </c>
      <c r="U57" s="24">
        <f t="shared" si="75"/>
        <v>334.75176218905074</v>
      </c>
      <c r="V57" s="24">
        <f t="shared" si="75"/>
        <v>341.44679743283177</v>
      </c>
      <c r="W57" s="24">
        <f t="shared" si="75"/>
        <v>348.27573338148841</v>
      </c>
      <c r="X57" s="24">
        <f t="shared" si="75"/>
        <v>355.24124804911816</v>
      </c>
      <c r="Y57" s="24">
        <f t="shared" si="75"/>
        <v>362.3460730101005</v>
      </c>
      <c r="Z57" s="24">
        <f t="shared" si="75"/>
        <v>369.59299447030253</v>
      </c>
      <c r="AA57" s="24">
        <f t="shared" si="75"/>
        <v>376.98485435970861</v>
      </c>
      <c r="AB57" s="24">
        <f t="shared" si="75"/>
        <v>384.52455144690276</v>
      </c>
      <c r="AC57" s="24">
        <f t="shared" si="75"/>
        <v>392.21504247584085</v>
      </c>
      <c r="AD57" s="24">
        <f t="shared" si="75"/>
        <v>400.05934332535764</v>
      </c>
      <c r="AE57" s="24">
        <f t="shared" si="75"/>
        <v>408.06053019186481</v>
      </c>
      <c r="AF57" s="24">
        <f t="shared" si="75"/>
        <v>416.22174079570209</v>
      </c>
      <c r="AG57" s="24">
        <f t="shared" si="75"/>
        <v>424.54617561161615</v>
      </c>
      <c r="AH57" s="24">
        <f t="shared" si="75"/>
        <v>433.03709912384846</v>
      </c>
    </row>
    <row r="58" spans="1:34" ht="11.25" customHeight="1" x14ac:dyDescent="0.2">
      <c r="A58" s="23">
        <v>54</v>
      </c>
      <c r="B58" s="24">
        <v>93.3</v>
      </c>
      <c r="C58" s="24">
        <v>151</v>
      </c>
      <c r="D58" s="24">
        <v>188</v>
      </c>
      <c r="E58" s="24">
        <v>222.50251376146787</v>
      </c>
      <c r="F58" s="24">
        <v>259.60000000000002</v>
      </c>
      <c r="G58" s="24">
        <v>290.8</v>
      </c>
      <c r="H58" s="24">
        <f t="shared" ref="H58:AH58" si="76">G58*1.02</f>
        <v>296.61600000000004</v>
      </c>
      <c r="I58" s="24">
        <f t="shared" si="76"/>
        <v>302.54832000000005</v>
      </c>
      <c r="J58" s="24">
        <f t="shared" si="76"/>
        <v>308.59928640000004</v>
      </c>
      <c r="K58" s="24">
        <f t="shared" si="76"/>
        <v>314.77127212800002</v>
      </c>
      <c r="L58" s="24">
        <f t="shared" si="76"/>
        <v>321.06669757056005</v>
      </c>
      <c r="M58" s="24">
        <f t="shared" si="76"/>
        <v>327.48803152197127</v>
      </c>
      <c r="N58" s="24">
        <f t="shared" si="76"/>
        <v>334.0377921524107</v>
      </c>
      <c r="O58" s="24">
        <f t="shared" si="76"/>
        <v>340.71854799545895</v>
      </c>
      <c r="P58" s="24">
        <f t="shared" si="76"/>
        <v>347.53291895536813</v>
      </c>
      <c r="Q58" s="24">
        <f t="shared" si="76"/>
        <v>354.48357733447551</v>
      </c>
      <c r="R58" s="24">
        <f t="shared" si="76"/>
        <v>361.57324888116506</v>
      </c>
      <c r="S58" s="24">
        <f t="shared" si="76"/>
        <v>368.80471385878838</v>
      </c>
      <c r="T58" s="24">
        <f t="shared" si="76"/>
        <v>376.18080813596413</v>
      </c>
      <c r="U58" s="24">
        <f t="shared" si="76"/>
        <v>383.70442429868342</v>
      </c>
      <c r="V58" s="24">
        <f t="shared" si="76"/>
        <v>391.37851278465712</v>
      </c>
      <c r="W58" s="24">
        <f t="shared" si="76"/>
        <v>399.20608304035028</v>
      </c>
      <c r="X58" s="24">
        <f t="shared" si="76"/>
        <v>407.19020470115731</v>
      </c>
      <c r="Y58" s="24">
        <f t="shared" si="76"/>
        <v>415.33400879518047</v>
      </c>
      <c r="Z58" s="24">
        <f t="shared" si="76"/>
        <v>423.6406889710841</v>
      </c>
      <c r="AA58" s="24">
        <f t="shared" si="76"/>
        <v>432.1135027505058</v>
      </c>
      <c r="AB58" s="24">
        <f t="shared" si="76"/>
        <v>440.7557728055159</v>
      </c>
      <c r="AC58" s="24">
        <f t="shared" si="76"/>
        <v>449.57088826162624</v>
      </c>
      <c r="AD58" s="24">
        <f t="shared" si="76"/>
        <v>458.56230602685878</v>
      </c>
      <c r="AE58" s="24">
        <f t="shared" si="76"/>
        <v>467.73355214739598</v>
      </c>
      <c r="AF58" s="24">
        <f t="shared" si="76"/>
        <v>477.08822319034391</v>
      </c>
      <c r="AG58" s="24">
        <f t="shared" si="76"/>
        <v>486.6299876541508</v>
      </c>
      <c r="AH58" s="24">
        <f t="shared" si="76"/>
        <v>496.36258740723383</v>
      </c>
    </row>
    <row r="59" spans="1:34" ht="11.25" customHeight="1" x14ac:dyDescent="0.2">
      <c r="A59" s="23">
        <v>55</v>
      </c>
      <c r="B59" s="24">
        <v>98.4</v>
      </c>
      <c r="C59" s="24">
        <v>120</v>
      </c>
      <c r="D59" s="24">
        <v>150</v>
      </c>
      <c r="E59" s="24">
        <v>185</v>
      </c>
      <c r="F59" s="24">
        <v>216</v>
      </c>
      <c r="G59" s="24">
        <v>309.8</v>
      </c>
      <c r="H59" s="24">
        <f t="shared" ref="H59:AH59" si="77">G59*1.02</f>
        <v>315.99600000000004</v>
      </c>
      <c r="I59" s="24">
        <f t="shared" si="77"/>
        <v>322.31592000000006</v>
      </c>
      <c r="J59" s="24">
        <f t="shared" si="77"/>
        <v>328.76223840000006</v>
      </c>
      <c r="K59" s="24">
        <f t="shared" si="77"/>
        <v>335.33748316800006</v>
      </c>
      <c r="L59" s="24">
        <f t="shared" si="77"/>
        <v>342.04423283136009</v>
      </c>
      <c r="M59" s="24">
        <f t="shared" si="77"/>
        <v>348.88511748798732</v>
      </c>
      <c r="N59" s="24">
        <f t="shared" si="77"/>
        <v>355.86281983774705</v>
      </c>
      <c r="O59" s="24">
        <f t="shared" si="77"/>
        <v>362.98007623450201</v>
      </c>
      <c r="P59" s="24">
        <f t="shared" si="77"/>
        <v>370.23967775919203</v>
      </c>
      <c r="Q59" s="24">
        <f t="shared" si="77"/>
        <v>377.64447131437589</v>
      </c>
      <c r="R59" s="24">
        <f t="shared" si="77"/>
        <v>385.19736074066344</v>
      </c>
      <c r="S59" s="24">
        <f t="shared" si="77"/>
        <v>392.90130795547674</v>
      </c>
      <c r="T59" s="24">
        <f t="shared" si="77"/>
        <v>400.7593341145863</v>
      </c>
      <c r="U59" s="24">
        <f t="shared" si="77"/>
        <v>408.77452079687805</v>
      </c>
      <c r="V59" s="24">
        <f t="shared" si="77"/>
        <v>416.95001121281564</v>
      </c>
      <c r="W59" s="24">
        <f t="shared" si="77"/>
        <v>425.28901143707196</v>
      </c>
      <c r="X59" s="24">
        <f t="shared" si="77"/>
        <v>433.79479166581342</v>
      </c>
      <c r="Y59" s="24">
        <f t="shared" si="77"/>
        <v>442.47068749912972</v>
      </c>
      <c r="Z59" s="24">
        <f t="shared" si="77"/>
        <v>451.32010124911233</v>
      </c>
      <c r="AA59" s="24">
        <f t="shared" si="77"/>
        <v>460.34650327409457</v>
      </c>
      <c r="AB59" s="24">
        <f t="shared" si="77"/>
        <v>469.55343333957649</v>
      </c>
      <c r="AC59" s="24">
        <f t="shared" si="77"/>
        <v>478.944502006368</v>
      </c>
      <c r="AD59" s="24">
        <f t="shared" si="77"/>
        <v>488.52339204649536</v>
      </c>
      <c r="AE59" s="24">
        <f t="shared" si="77"/>
        <v>498.2938598874253</v>
      </c>
      <c r="AF59" s="24">
        <f t="shared" si="77"/>
        <v>508.25973708517381</v>
      </c>
      <c r="AG59" s="24">
        <f t="shared" si="77"/>
        <v>518.42493182687724</v>
      </c>
      <c r="AH59" s="24">
        <f t="shared" si="77"/>
        <v>528.79343046341478</v>
      </c>
    </row>
    <row r="60" spans="1:34" ht="11.25" customHeight="1" x14ac:dyDescent="0.2">
      <c r="A60" s="23">
        <v>56</v>
      </c>
      <c r="B60" s="24">
        <v>95.1</v>
      </c>
      <c r="C60" s="24">
        <v>120</v>
      </c>
      <c r="D60" s="24">
        <v>150</v>
      </c>
      <c r="E60" s="24">
        <v>185</v>
      </c>
      <c r="F60" s="24">
        <v>216</v>
      </c>
      <c r="G60" s="24">
        <v>290.7</v>
      </c>
      <c r="H60" s="24">
        <f t="shared" ref="H60:AH60" si="78">G60*1.02</f>
        <v>296.51400000000001</v>
      </c>
      <c r="I60" s="24">
        <f t="shared" si="78"/>
        <v>302.44427999999999</v>
      </c>
      <c r="J60" s="24">
        <f t="shared" si="78"/>
        <v>308.4931656</v>
      </c>
      <c r="K60" s="24">
        <f t="shared" si="78"/>
        <v>314.66302891200002</v>
      </c>
      <c r="L60" s="24">
        <f t="shared" si="78"/>
        <v>320.95628949024001</v>
      </c>
      <c r="M60" s="24">
        <f t="shared" si="78"/>
        <v>327.37541528004482</v>
      </c>
      <c r="N60" s="24">
        <f t="shared" si="78"/>
        <v>333.92292358564572</v>
      </c>
      <c r="O60" s="24">
        <f t="shared" si="78"/>
        <v>340.60138205735865</v>
      </c>
      <c r="P60" s="24">
        <f t="shared" si="78"/>
        <v>347.4134096985058</v>
      </c>
      <c r="Q60" s="24">
        <f t="shared" si="78"/>
        <v>354.36167789247594</v>
      </c>
      <c r="R60" s="24">
        <f t="shared" si="78"/>
        <v>361.44891145032545</v>
      </c>
      <c r="S60" s="24">
        <f t="shared" si="78"/>
        <v>368.677889679332</v>
      </c>
      <c r="T60" s="24">
        <f t="shared" si="78"/>
        <v>376.05144747291865</v>
      </c>
      <c r="U60" s="24">
        <f t="shared" si="78"/>
        <v>383.57247642237701</v>
      </c>
      <c r="V60" s="24">
        <f t="shared" si="78"/>
        <v>391.24392595082458</v>
      </c>
      <c r="W60" s="24">
        <f t="shared" si="78"/>
        <v>399.0688044698411</v>
      </c>
      <c r="X60" s="24">
        <f t="shared" si="78"/>
        <v>407.0501805592379</v>
      </c>
      <c r="Y60" s="24">
        <f t="shared" si="78"/>
        <v>415.19118417042267</v>
      </c>
      <c r="Z60" s="24">
        <f t="shared" si="78"/>
        <v>423.49500785383111</v>
      </c>
      <c r="AA60" s="24">
        <f t="shared" si="78"/>
        <v>431.96490801090772</v>
      </c>
      <c r="AB60" s="24">
        <f t="shared" si="78"/>
        <v>440.6042061711259</v>
      </c>
      <c r="AC60" s="24">
        <f t="shared" si="78"/>
        <v>449.41629029454845</v>
      </c>
      <c r="AD60" s="24">
        <f t="shared" si="78"/>
        <v>458.4046161004394</v>
      </c>
      <c r="AE60" s="24">
        <f t="shared" si="78"/>
        <v>467.57270842244822</v>
      </c>
      <c r="AF60" s="24">
        <f t="shared" si="78"/>
        <v>476.9241625908972</v>
      </c>
      <c r="AG60" s="24">
        <f t="shared" si="78"/>
        <v>486.46264584271518</v>
      </c>
      <c r="AH60" s="24">
        <f t="shared" si="78"/>
        <v>496.19189875956948</v>
      </c>
    </row>
    <row r="61" spans="1:34" ht="11.25" customHeight="1" x14ac:dyDescent="0.2">
      <c r="A61" s="23">
        <v>57</v>
      </c>
      <c r="B61" s="24">
        <v>104.6</v>
      </c>
      <c r="C61" s="24">
        <v>157.92504</v>
      </c>
      <c r="D61" s="24">
        <v>190.63808400000002</v>
      </c>
      <c r="E61" s="24">
        <v>222.50251376146787</v>
      </c>
      <c r="F61" s="24">
        <v>276.36881999999997</v>
      </c>
      <c r="G61" s="24">
        <v>332</v>
      </c>
      <c r="H61" s="24">
        <f t="shared" ref="H61:AH61" si="79">G61*1.02</f>
        <v>338.64</v>
      </c>
      <c r="I61" s="24">
        <f t="shared" si="79"/>
        <v>345.4128</v>
      </c>
      <c r="J61" s="24">
        <f t="shared" si="79"/>
        <v>352.321056</v>
      </c>
      <c r="K61" s="24">
        <f t="shared" si="79"/>
        <v>359.36747711999999</v>
      </c>
      <c r="L61" s="24">
        <f t="shared" si="79"/>
        <v>366.55482666239999</v>
      </c>
      <c r="M61" s="24">
        <f t="shared" si="79"/>
        <v>373.88592319564799</v>
      </c>
      <c r="N61" s="24">
        <f t="shared" si="79"/>
        <v>381.36364165956098</v>
      </c>
      <c r="O61" s="24">
        <f t="shared" si="79"/>
        <v>388.99091449275221</v>
      </c>
      <c r="P61" s="24">
        <f t="shared" si="79"/>
        <v>396.77073278260724</v>
      </c>
      <c r="Q61" s="24">
        <f t="shared" si="79"/>
        <v>404.70614743825939</v>
      </c>
      <c r="R61" s="24">
        <f t="shared" si="79"/>
        <v>412.80027038702457</v>
      </c>
      <c r="S61" s="24">
        <f t="shared" si="79"/>
        <v>421.05627579476504</v>
      </c>
      <c r="T61" s="24">
        <f t="shared" si="79"/>
        <v>429.47740131066035</v>
      </c>
      <c r="U61" s="24">
        <f t="shared" si="79"/>
        <v>438.06694933687356</v>
      </c>
      <c r="V61" s="24">
        <f t="shared" si="79"/>
        <v>446.82828832361105</v>
      </c>
      <c r="W61" s="24">
        <f t="shared" si="79"/>
        <v>455.7648540900833</v>
      </c>
      <c r="X61" s="24">
        <f t="shared" si="79"/>
        <v>464.88015117188496</v>
      </c>
      <c r="Y61" s="24">
        <f t="shared" si="79"/>
        <v>474.17775419532268</v>
      </c>
      <c r="Z61" s="24">
        <f t="shared" si="79"/>
        <v>483.66130927922916</v>
      </c>
      <c r="AA61" s="24">
        <f t="shared" si="79"/>
        <v>493.33453546481377</v>
      </c>
      <c r="AB61" s="24">
        <f t="shared" si="79"/>
        <v>503.20122617411005</v>
      </c>
      <c r="AC61" s="24">
        <f t="shared" si="79"/>
        <v>513.26525069759225</v>
      </c>
      <c r="AD61" s="24">
        <f t="shared" si="79"/>
        <v>523.53055571154414</v>
      </c>
      <c r="AE61" s="24">
        <f t="shared" si="79"/>
        <v>534.00116682577504</v>
      </c>
      <c r="AF61" s="24">
        <f t="shared" si="79"/>
        <v>544.68119016229059</v>
      </c>
      <c r="AG61" s="24">
        <f t="shared" si="79"/>
        <v>555.57481396553646</v>
      </c>
      <c r="AH61" s="24">
        <f t="shared" si="79"/>
        <v>566.68631024484716</v>
      </c>
    </row>
    <row r="62" spans="1:34" ht="11.25" customHeight="1" x14ac:dyDescent="0.2">
      <c r="A62" s="23">
        <v>58</v>
      </c>
      <c r="B62" s="24">
        <v>78.400000000000006</v>
      </c>
      <c r="C62" s="24">
        <v>128.9</v>
      </c>
      <c r="D62" s="24">
        <v>159.5</v>
      </c>
      <c r="E62" s="24">
        <v>179.8</v>
      </c>
      <c r="F62" s="24">
        <v>205.9</v>
      </c>
      <c r="G62" s="24">
        <v>230</v>
      </c>
      <c r="H62" s="24">
        <f t="shared" ref="H62:AH62" si="80">G62*1.02</f>
        <v>234.6</v>
      </c>
      <c r="I62" s="24">
        <f t="shared" si="80"/>
        <v>239.292</v>
      </c>
      <c r="J62" s="24">
        <f t="shared" si="80"/>
        <v>244.07784000000001</v>
      </c>
      <c r="K62" s="24">
        <f t="shared" si="80"/>
        <v>248.95939680000001</v>
      </c>
      <c r="L62" s="24">
        <f t="shared" si="80"/>
        <v>253.93858473600002</v>
      </c>
      <c r="M62" s="24">
        <f t="shared" si="80"/>
        <v>259.01735643072004</v>
      </c>
      <c r="N62" s="24">
        <f t="shared" si="80"/>
        <v>264.19770355933446</v>
      </c>
      <c r="O62" s="24">
        <f t="shared" si="80"/>
        <v>269.48165763052117</v>
      </c>
      <c r="P62" s="24">
        <f t="shared" si="80"/>
        <v>274.8712907831316</v>
      </c>
      <c r="Q62" s="24">
        <f t="shared" si="80"/>
        <v>280.36871659879421</v>
      </c>
      <c r="R62" s="24">
        <f t="shared" si="80"/>
        <v>285.97609093077011</v>
      </c>
      <c r="S62" s="24">
        <f t="shared" si="80"/>
        <v>291.69561274938553</v>
      </c>
      <c r="T62" s="24">
        <f t="shared" si="80"/>
        <v>297.52952500437323</v>
      </c>
      <c r="U62" s="24">
        <f t="shared" si="80"/>
        <v>303.48011550446068</v>
      </c>
      <c r="V62" s="24">
        <f t="shared" si="80"/>
        <v>309.54971781454992</v>
      </c>
      <c r="W62" s="24">
        <f t="shared" si="80"/>
        <v>315.74071217084094</v>
      </c>
      <c r="X62" s="24">
        <f t="shared" si="80"/>
        <v>322.05552641425777</v>
      </c>
      <c r="Y62" s="24">
        <f t="shared" si="80"/>
        <v>328.49663694254292</v>
      </c>
      <c r="Z62" s="24">
        <f t="shared" si="80"/>
        <v>335.06656968139379</v>
      </c>
      <c r="AA62" s="24">
        <f t="shared" si="80"/>
        <v>341.76790107502165</v>
      </c>
      <c r="AB62" s="24">
        <f t="shared" si="80"/>
        <v>348.60325909652209</v>
      </c>
      <c r="AC62" s="24">
        <f t="shared" si="80"/>
        <v>355.57532427845257</v>
      </c>
      <c r="AD62" s="24">
        <f t="shared" si="80"/>
        <v>362.68683076402164</v>
      </c>
      <c r="AE62" s="24">
        <f t="shared" si="80"/>
        <v>369.94056737930208</v>
      </c>
      <c r="AF62" s="24">
        <f t="shared" si="80"/>
        <v>377.33937872688813</v>
      </c>
      <c r="AG62" s="24">
        <f t="shared" si="80"/>
        <v>384.88616630142587</v>
      </c>
      <c r="AH62" s="24">
        <f t="shared" si="80"/>
        <v>392.58388962745443</v>
      </c>
    </row>
    <row r="63" spans="1:34" ht="11.25" customHeight="1" x14ac:dyDescent="0.2">
      <c r="A63" s="23">
        <v>59</v>
      </c>
      <c r="B63" s="24">
        <v>90.4</v>
      </c>
      <c r="C63" s="24">
        <v>143.17379999999997</v>
      </c>
      <c r="D63" s="24">
        <v>178.96724999999998</v>
      </c>
      <c r="E63" s="24">
        <v>208.9</v>
      </c>
      <c r="F63" s="24">
        <v>241.1</v>
      </c>
      <c r="G63" s="24">
        <v>273.8</v>
      </c>
      <c r="H63" s="24">
        <f t="shared" ref="H63:AH63" si="81">G63*1.02</f>
        <v>279.27600000000001</v>
      </c>
      <c r="I63" s="24">
        <f t="shared" si="81"/>
        <v>284.86152000000004</v>
      </c>
      <c r="J63" s="24">
        <f t="shared" si="81"/>
        <v>290.55875040000006</v>
      </c>
      <c r="K63" s="24">
        <f t="shared" si="81"/>
        <v>296.36992540800009</v>
      </c>
      <c r="L63" s="24">
        <f t="shared" si="81"/>
        <v>302.29732391616011</v>
      </c>
      <c r="M63" s="24">
        <f t="shared" si="81"/>
        <v>308.34327039448334</v>
      </c>
      <c r="N63" s="24">
        <f t="shared" si="81"/>
        <v>314.51013580237299</v>
      </c>
      <c r="O63" s="24">
        <f t="shared" si="81"/>
        <v>320.80033851842046</v>
      </c>
      <c r="P63" s="24">
        <f t="shared" si="81"/>
        <v>327.21634528878889</v>
      </c>
      <c r="Q63" s="24">
        <f t="shared" si="81"/>
        <v>333.76067219456468</v>
      </c>
      <c r="R63" s="24">
        <f t="shared" si="81"/>
        <v>340.435885638456</v>
      </c>
      <c r="S63" s="24">
        <f t="shared" si="81"/>
        <v>347.24460335122512</v>
      </c>
      <c r="T63" s="24">
        <f t="shared" si="81"/>
        <v>354.18949541824963</v>
      </c>
      <c r="U63" s="24">
        <f t="shared" si="81"/>
        <v>361.27328532661465</v>
      </c>
      <c r="V63" s="24">
        <f t="shared" si="81"/>
        <v>368.49875103314696</v>
      </c>
      <c r="W63" s="24">
        <f t="shared" si="81"/>
        <v>375.86872605380989</v>
      </c>
      <c r="X63" s="24">
        <f t="shared" si="81"/>
        <v>383.38610057488609</v>
      </c>
      <c r="Y63" s="24">
        <f t="shared" si="81"/>
        <v>391.05382258638383</v>
      </c>
      <c r="Z63" s="24">
        <f t="shared" si="81"/>
        <v>398.87489903811149</v>
      </c>
      <c r="AA63" s="24">
        <f t="shared" si="81"/>
        <v>406.85239701887372</v>
      </c>
      <c r="AB63" s="24">
        <f t="shared" si="81"/>
        <v>414.98944495925122</v>
      </c>
      <c r="AC63" s="24">
        <f t="shared" si="81"/>
        <v>423.28923385843626</v>
      </c>
      <c r="AD63" s="24">
        <f t="shared" si="81"/>
        <v>431.75501853560502</v>
      </c>
      <c r="AE63" s="24">
        <f t="shared" si="81"/>
        <v>440.39011890631713</v>
      </c>
      <c r="AF63" s="24">
        <f t="shared" si="81"/>
        <v>449.19792128444345</v>
      </c>
      <c r="AG63" s="24">
        <f t="shared" si="81"/>
        <v>458.18187971013231</v>
      </c>
      <c r="AH63" s="24">
        <f t="shared" si="81"/>
        <v>467.34551730433498</v>
      </c>
    </row>
    <row r="64" spans="1:34" ht="11.25" customHeight="1" x14ac:dyDescent="0.2">
      <c r="A64" s="23">
        <v>60</v>
      </c>
      <c r="B64" s="24">
        <v>92.97</v>
      </c>
      <c r="C64" s="24">
        <v>123.2</v>
      </c>
      <c r="D64" s="24">
        <v>151.6</v>
      </c>
      <c r="E64" s="24">
        <v>176.5</v>
      </c>
      <c r="F64" s="24">
        <v>199.3</v>
      </c>
      <c r="G64" s="24">
        <v>222.5</v>
      </c>
      <c r="H64" s="24">
        <f t="shared" ref="H64:AH64" si="82">G64*1.02</f>
        <v>226.95000000000002</v>
      </c>
      <c r="I64" s="24">
        <f t="shared" si="82"/>
        <v>231.48900000000003</v>
      </c>
      <c r="J64" s="24">
        <f t="shared" si="82"/>
        <v>236.11878000000004</v>
      </c>
      <c r="K64" s="24">
        <f t="shared" si="82"/>
        <v>240.84115560000004</v>
      </c>
      <c r="L64" s="24">
        <f t="shared" si="82"/>
        <v>245.65797871200004</v>
      </c>
      <c r="M64" s="24">
        <f t="shared" si="82"/>
        <v>250.57113828624006</v>
      </c>
      <c r="N64" s="24">
        <f t="shared" si="82"/>
        <v>255.58256105196486</v>
      </c>
      <c r="O64" s="24">
        <f t="shared" si="82"/>
        <v>260.69421227300415</v>
      </c>
      <c r="P64" s="24">
        <f t="shared" si="82"/>
        <v>265.90809651846422</v>
      </c>
      <c r="Q64" s="24">
        <f t="shared" si="82"/>
        <v>271.22625844883351</v>
      </c>
      <c r="R64" s="24">
        <f t="shared" si="82"/>
        <v>276.65078361781019</v>
      </c>
      <c r="S64" s="24">
        <f t="shared" si="82"/>
        <v>282.18379929016641</v>
      </c>
      <c r="T64" s="24">
        <f t="shared" si="82"/>
        <v>287.82747527596973</v>
      </c>
      <c r="U64" s="24">
        <f t="shared" si="82"/>
        <v>293.58402478148912</v>
      </c>
      <c r="V64" s="24">
        <f t="shared" si="82"/>
        <v>299.45570527711891</v>
      </c>
      <c r="W64" s="24">
        <f t="shared" si="82"/>
        <v>305.44481938266131</v>
      </c>
      <c r="X64" s="24">
        <f t="shared" si="82"/>
        <v>311.55371577031451</v>
      </c>
      <c r="Y64" s="24">
        <f t="shared" si="82"/>
        <v>317.78479008572083</v>
      </c>
      <c r="Z64" s="24">
        <f t="shared" si="82"/>
        <v>324.14048588743526</v>
      </c>
      <c r="AA64" s="24">
        <f t="shared" si="82"/>
        <v>330.62329560518396</v>
      </c>
      <c r="AB64" s="24">
        <f t="shared" si="82"/>
        <v>337.23576151728764</v>
      </c>
      <c r="AC64" s="24">
        <f t="shared" si="82"/>
        <v>343.98047674763342</v>
      </c>
      <c r="AD64" s="24">
        <f t="shared" si="82"/>
        <v>350.86008628258611</v>
      </c>
      <c r="AE64" s="24">
        <f t="shared" si="82"/>
        <v>357.87728800823783</v>
      </c>
      <c r="AF64" s="24">
        <f t="shared" si="82"/>
        <v>365.03483376840256</v>
      </c>
      <c r="AG64" s="24">
        <f t="shared" si="82"/>
        <v>372.33553044377061</v>
      </c>
      <c r="AH64" s="24">
        <f t="shared" si="82"/>
        <v>379.78224105264604</v>
      </c>
    </row>
    <row r="65" spans="1:34" ht="11.25" customHeight="1" x14ac:dyDescent="0.2">
      <c r="A65" s="23">
        <v>61</v>
      </c>
      <c r="B65" s="24">
        <v>82.6</v>
      </c>
      <c r="C65" s="24">
        <v>126.7</v>
      </c>
      <c r="D65" s="24">
        <v>163.4</v>
      </c>
      <c r="E65" s="24">
        <v>194.5</v>
      </c>
      <c r="F65" s="24">
        <v>224</v>
      </c>
      <c r="G65" s="24">
        <v>253.7</v>
      </c>
      <c r="H65" s="24">
        <f t="shared" ref="H65:AH65" si="83">G65*1.02</f>
        <v>258.774</v>
      </c>
      <c r="I65" s="24">
        <f t="shared" si="83"/>
        <v>263.94947999999999</v>
      </c>
      <c r="J65" s="24">
        <f t="shared" si="83"/>
        <v>269.22846959999998</v>
      </c>
      <c r="K65" s="24">
        <f t="shared" si="83"/>
        <v>274.61303899199999</v>
      </c>
      <c r="L65" s="24">
        <f t="shared" si="83"/>
        <v>280.10529977184001</v>
      </c>
      <c r="M65" s="24">
        <f t="shared" si="83"/>
        <v>285.70740576727684</v>
      </c>
      <c r="N65" s="24">
        <f t="shared" si="83"/>
        <v>291.42155388262239</v>
      </c>
      <c r="O65" s="24">
        <f t="shared" si="83"/>
        <v>297.24998496027484</v>
      </c>
      <c r="P65" s="24">
        <f t="shared" si="83"/>
        <v>303.19498465948033</v>
      </c>
      <c r="Q65" s="24">
        <f t="shared" si="83"/>
        <v>309.25888435266995</v>
      </c>
      <c r="R65" s="24">
        <f t="shared" si="83"/>
        <v>315.44406203972335</v>
      </c>
      <c r="S65" s="24">
        <f t="shared" si="83"/>
        <v>321.7529432805178</v>
      </c>
      <c r="T65" s="24">
        <f t="shared" si="83"/>
        <v>328.18800214612816</v>
      </c>
      <c r="U65" s="24">
        <f t="shared" si="83"/>
        <v>334.75176218905074</v>
      </c>
      <c r="V65" s="24">
        <f t="shared" si="83"/>
        <v>341.44679743283177</v>
      </c>
      <c r="W65" s="24">
        <f t="shared" si="83"/>
        <v>348.27573338148841</v>
      </c>
      <c r="X65" s="24">
        <f t="shared" si="83"/>
        <v>355.24124804911816</v>
      </c>
      <c r="Y65" s="24">
        <f t="shared" si="83"/>
        <v>362.3460730101005</v>
      </c>
      <c r="Z65" s="24">
        <f t="shared" si="83"/>
        <v>369.59299447030253</v>
      </c>
      <c r="AA65" s="24">
        <f t="shared" si="83"/>
        <v>376.98485435970861</v>
      </c>
      <c r="AB65" s="24">
        <f t="shared" si="83"/>
        <v>384.52455144690276</v>
      </c>
      <c r="AC65" s="24">
        <f t="shared" si="83"/>
        <v>392.21504247584085</v>
      </c>
      <c r="AD65" s="24">
        <f t="shared" si="83"/>
        <v>400.05934332535764</v>
      </c>
      <c r="AE65" s="24">
        <f t="shared" si="83"/>
        <v>408.06053019186481</v>
      </c>
      <c r="AF65" s="24">
        <f t="shared" si="83"/>
        <v>416.22174079570209</v>
      </c>
      <c r="AG65" s="24">
        <f t="shared" si="83"/>
        <v>424.54617561161615</v>
      </c>
      <c r="AH65" s="24">
        <f t="shared" si="83"/>
        <v>433.03709912384846</v>
      </c>
    </row>
    <row r="66" spans="1:34" ht="11.25" customHeight="1" x14ac:dyDescent="0.2">
      <c r="A66" s="23">
        <v>62</v>
      </c>
      <c r="B66" s="24">
        <v>98.134999999999991</v>
      </c>
      <c r="C66" s="24">
        <v>143.17379999999997</v>
      </c>
      <c r="D66" s="24">
        <v>176.8</v>
      </c>
      <c r="E66" s="24">
        <v>202</v>
      </c>
      <c r="F66" s="24">
        <v>232.5</v>
      </c>
      <c r="G66" s="24">
        <v>263.7</v>
      </c>
      <c r="H66" s="24">
        <f t="shared" ref="H66:AH66" si="84">G66*1.02</f>
        <v>268.97399999999999</v>
      </c>
      <c r="I66" s="24">
        <f t="shared" si="84"/>
        <v>274.35347999999999</v>
      </c>
      <c r="J66" s="24">
        <f t="shared" si="84"/>
        <v>279.84054959999997</v>
      </c>
      <c r="K66" s="24">
        <f t="shared" si="84"/>
        <v>285.437360592</v>
      </c>
      <c r="L66" s="24">
        <f t="shared" si="84"/>
        <v>291.14610780383998</v>
      </c>
      <c r="M66" s="24">
        <f t="shared" si="84"/>
        <v>296.96902995991678</v>
      </c>
      <c r="N66" s="24">
        <f t="shared" si="84"/>
        <v>302.90841055911511</v>
      </c>
      <c r="O66" s="24">
        <f t="shared" si="84"/>
        <v>308.96657877029742</v>
      </c>
      <c r="P66" s="24">
        <f t="shared" si="84"/>
        <v>315.14591034570338</v>
      </c>
      <c r="Q66" s="24">
        <f t="shared" si="84"/>
        <v>321.44882855261744</v>
      </c>
      <c r="R66" s="24">
        <f t="shared" si="84"/>
        <v>327.87780512366982</v>
      </c>
      <c r="S66" s="24">
        <f t="shared" si="84"/>
        <v>334.43536122614324</v>
      </c>
      <c r="T66" s="24">
        <f t="shared" si="84"/>
        <v>341.12406845066613</v>
      </c>
      <c r="U66" s="24">
        <f t="shared" si="84"/>
        <v>347.94654981967943</v>
      </c>
      <c r="V66" s="24">
        <f t="shared" si="84"/>
        <v>354.90548081607301</v>
      </c>
      <c r="W66" s="24">
        <f t="shared" si="84"/>
        <v>362.0035904323945</v>
      </c>
      <c r="X66" s="24">
        <f t="shared" si="84"/>
        <v>369.24366224104239</v>
      </c>
      <c r="Y66" s="24">
        <f t="shared" si="84"/>
        <v>376.62853548586327</v>
      </c>
      <c r="Z66" s="24">
        <f t="shared" si="84"/>
        <v>384.16110619558054</v>
      </c>
      <c r="AA66" s="24">
        <f t="shared" si="84"/>
        <v>391.84432831949215</v>
      </c>
      <c r="AB66" s="24">
        <f t="shared" si="84"/>
        <v>399.68121488588201</v>
      </c>
      <c r="AC66" s="24">
        <f t="shared" si="84"/>
        <v>407.67483918359966</v>
      </c>
      <c r="AD66" s="24">
        <f t="shared" si="84"/>
        <v>415.82833596727164</v>
      </c>
      <c r="AE66" s="24">
        <f t="shared" si="84"/>
        <v>424.14490268661706</v>
      </c>
      <c r="AF66" s="24">
        <f t="shared" si="84"/>
        <v>432.62780074034941</v>
      </c>
      <c r="AG66" s="24">
        <f t="shared" si="84"/>
        <v>441.28035675515639</v>
      </c>
      <c r="AH66" s="24">
        <f t="shared" si="84"/>
        <v>450.10596389025955</v>
      </c>
    </row>
    <row r="67" spans="1:34" ht="11.25" customHeight="1" x14ac:dyDescent="0.2">
      <c r="A67" s="23">
        <v>63</v>
      </c>
      <c r="B67" s="24">
        <v>89.1</v>
      </c>
      <c r="C67" s="24">
        <v>148.19999999999999</v>
      </c>
      <c r="D67" s="24">
        <v>185.24607192000002</v>
      </c>
      <c r="E67" s="24">
        <v>209.4</v>
      </c>
      <c r="F67" s="24">
        <v>241.1</v>
      </c>
      <c r="G67" s="24">
        <v>269</v>
      </c>
      <c r="H67" s="24">
        <f t="shared" ref="H67:AH67" si="85">G67*1.02</f>
        <v>274.38</v>
      </c>
      <c r="I67" s="24">
        <f t="shared" si="85"/>
        <v>279.86759999999998</v>
      </c>
      <c r="J67" s="24">
        <f t="shared" si="85"/>
        <v>285.46495199999998</v>
      </c>
      <c r="K67" s="24">
        <f t="shared" si="85"/>
        <v>291.17425104</v>
      </c>
      <c r="L67" s="24">
        <f t="shared" si="85"/>
        <v>296.99773606079998</v>
      </c>
      <c r="M67" s="24">
        <f t="shared" si="85"/>
        <v>302.93769078201598</v>
      </c>
      <c r="N67" s="24">
        <f t="shared" si="85"/>
        <v>308.99644459765631</v>
      </c>
      <c r="O67" s="24">
        <f t="shared" si="85"/>
        <v>315.17637348960943</v>
      </c>
      <c r="P67" s="24">
        <f t="shared" si="85"/>
        <v>321.47990095940162</v>
      </c>
      <c r="Q67" s="24">
        <f t="shared" si="85"/>
        <v>327.90949897858968</v>
      </c>
      <c r="R67" s="24">
        <f t="shared" si="85"/>
        <v>334.46768895816149</v>
      </c>
      <c r="S67" s="24">
        <f t="shared" si="85"/>
        <v>341.15704273732473</v>
      </c>
      <c r="T67" s="24">
        <f t="shared" si="85"/>
        <v>347.98018359207123</v>
      </c>
      <c r="U67" s="24">
        <f t="shared" si="85"/>
        <v>354.93978726391265</v>
      </c>
      <c r="V67" s="24">
        <f t="shared" si="85"/>
        <v>362.03858300919092</v>
      </c>
      <c r="W67" s="24">
        <f t="shared" si="85"/>
        <v>369.27935466937475</v>
      </c>
      <c r="X67" s="24">
        <f t="shared" si="85"/>
        <v>376.66494176276228</v>
      </c>
      <c r="Y67" s="24">
        <f t="shared" si="85"/>
        <v>384.19824059801755</v>
      </c>
      <c r="Z67" s="24">
        <f t="shared" si="85"/>
        <v>391.88220540997793</v>
      </c>
      <c r="AA67" s="24">
        <f t="shared" si="85"/>
        <v>399.71984951817751</v>
      </c>
      <c r="AB67" s="24">
        <f t="shared" si="85"/>
        <v>407.71424650854107</v>
      </c>
      <c r="AC67" s="24">
        <f t="shared" si="85"/>
        <v>415.8685314387119</v>
      </c>
      <c r="AD67" s="24">
        <f t="shared" si="85"/>
        <v>424.18590206748615</v>
      </c>
      <c r="AE67" s="24">
        <f t="shared" si="85"/>
        <v>432.66962010883589</v>
      </c>
      <c r="AF67" s="24">
        <f t="shared" si="85"/>
        <v>441.32301251101262</v>
      </c>
      <c r="AG67" s="24">
        <f t="shared" si="85"/>
        <v>450.14947276123286</v>
      </c>
      <c r="AH67" s="24">
        <f t="shared" si="85"/>
        <v>459.15246221645754</v>
      </c>
    </row>
    <row r="68" spans="1:34" ht="11.25" customHeight="1" x14ac:dyDescent="0.2">
      <c r="A68" s="23">
        <v>64</v>
      </c>
      <c r="B68" s="24">
        <v>113</v>
      </c>
      <c r="C68" s="24">
        <v>148</v>
      </c>
      <c r="D68" s="24">
        <v>194</v>
      </c>
      <c r="E68" s="24">
        <v>233</v>
      </c>
      <c r="F68" s="24">
        <v>270</v>
      </c>
      <c r="G68" s="24">
        <v>346</v>
      </c>
      <c r="H68" s="24">
        <f t="shared" ref="H68:AH68" si="86">G68*1.02</f>
        <v>352.92</v>
      </c>
      <c r="I68" s="24">
        <f t="shared" si="86"/>
        <v>359.97840000000002</v>
      </c>
      <c r="J68" s="24">
        <f t="shared" si="86"/>
        <v>367.17796800000002</v>
      </c>
      <c r="K68" s="24">
        <f t="shared" si="86"/>
        <v>374.52152736000005</v>
      </c>
      <c r="L68" s="24">
        <f t="shared" si="86"/>
        <v>382.01195790720004</v>
      </c>
      <c r="M68" s="24">
        <f t="shared" si="86"/>
        <v>389.65219706534407</v>
      </c>
      <c r="N68" s="24">
        <f t="shared" si="86"/>
        <v>397.44524100665097</v>
      </c>
      <c r="O68" s="24">
        <f t="shared" si="86"/>
        <v>405.39414582678398</v>
      </c>
      <c r="P68" s="24">
        <f t="shared" si="86"/>
        <v>413.50202874331967</v>
      </c>
      <c r="Q68" s="24">
        <f t="shared" si="86"/>
        <v>421.77206931818608</v>
      </c>
      <c r="R68" s="24">
        <f t="shared" si="86"/>
        <v>430.2075107045498</v>
      </c>
      <c r="S68" s="24">
        <f t="shared" si="86"/>
        <v>438.81166091864083</v>
      </c>
      <c r="T68" s="24">
        <f t="shared" si="86"/>
        <v>447.58789413701368</v>
      </c>
      <c r="U68" s="24">
        <f t="shared" si="86"/>
        <v>456.53965201975393</v>
      </c>
      <c r="V68" s="24">
        <f t="shared" si="86"/>
        <v>465.67044506014901</v>
      </c>
      <c r="W68" s="24">
        <f t="shared" si="86"/>
        <v>474.983853961352</v>
      </c>
      <c r="X68" s="24">
        <f t="shared" si="86"/>
        <v>484.48353104057907</v>
      </c>
      <c r="Y68" s="24">
        <f t="shared" si="86"/>
        <v>494.17320166139064</v>
      </c>
      <c r="Z68" s="24">
        <f t="shared" si="86"/>
        <v>504.05666569461846</v>
      </c>
      <c r="AA68" s="24">
        <f t="shared" si="86"/>
        <v>514.1377990085108</v>
      </c>
      <c r="AB68" s="24">
        <f t="shared" si="86"/>
        <v>524.42055498868103</v>
      </c>
      <c r="AC68" s="24">
        <f t="shared" si="86"/>
        <v>534.90896608845469</v>
      </c>
      <c r="AD68" s="24">
        <f t="shared" si="86"/>
        <v>545.60714541022378</v>
      </c>
      <c r="AE68" s="24">
        <f t="shared" si="86"/>
        <v>556.51928831842827</v>
      </c>
      <c r="AF68" s="24">
        <f t="shared" si="86"/>
        <v>567.64967408479686</v>
      </c>
      <c r="AG68" s="24">
        <f t="shared" si="86"/>
        <v>579.00266756649285</v>
      </c>
      <c r="AH68" s="24">
        <f t="shared" si="86"/>
        <v>590.58272091782271</v>
      </c>
    </row>
    <row r="69" spans="1:34" ht="11.25" customHeight="1" x14ac:dyDescent="0.2">
      <c r="A69" s="23">
        <v>65</v>
      </c>
      <c r="B69" s="24">
        <v>121</v>
      </c>
      <c r="C69" s="24">
        <v>169</v>
      </c>
      <c r="D69" s="24">
        <v>214</v>
      </c>
      <c r="E69" s="24">
        <v>257</v>
      </c>
      <c r="F69" s="24">
        <v>301</v>
      </c>
      <c r="G69" s="24">
        <v>346</v>
      </c>
      <c r="H69" s="24">
        <f t="shared" ref="H69:AH69" si="87">G69*1.02</f>
        <v>352.92</v>
      </c>
      <c r="I69" s="24">
        <f t="shared" si="87"/>
        <v>359.97840000000002</v>
      </c>
      <c r="J69" s="24">
        <f t="shared" si="87"/>
        <v>367.17796800000002</v>
      </c>
      <c r="K69" s="24">
        <f t="shared" si="87"/>
        <v>374.52152736000005</v>
      </c>
      <c r="L69" s="24">
        <f t="shared" si="87"/>
        <v>382.01195790720004</v>
      </c>
      <c r="M69" s="24">
        <f t="shared" si="87"/>
        <v>389.65219706534407</v>
      </c>
      <c r="N69" s="24">
        <f t="shared" si="87"/>
        <v>397.44524100665097</v>
      </c>
      <c r="O69" s="24">
        <f t="shared" si="87"/>
        <v>405.39414582678398</v>
      </c>
      <c r="P69" s="24">
        <f t="shared" si="87"/>
        <v>413.50202874331967</v>
      </c>
      <c r="Q69" s="24">
        <f t="shared" si="87"/>
        <v>421.77206931818608</v>
      </c>
      <c r="R69" s="24">
        <f t="shared" si="87"/>
        <v>430.2075107045498</v>
      </c>
      <c r="S69" s="24">
        <f t="shared" si="87"/>
        <v>438.81166091864083</v>
      </c>
      <c r="T69" s="24">
        <f t="shared" si="87"/>
        <v>447.58789413701368</v>
      </c>
      <c r="U69" s="24">
        <f t="shared" si="87"/>
        <v>456.53965201975393</v>
      </c>
      <c r="V69" s="24">
        <f t="shared" si="87"/>
        <v>465.67044506014901</v>
      </c>
      <c r="W69" s="24">
        <f t="shared" si="87"/>
        <v>474.983853961352</v>
      </c>
      <c r="X69" s="24">
        <f t="shared" si="87"/>
        <v>484.48353104057907</v>
      </c>
      <c r="Y69" s="24">
        <f t="shared" si="87"/>
        <v>494.17320166139064</v>
      </c>
      <c r="Z69" s="24">
        <f t="shared" si="87"/>
        <v>504.05666569461846</v>
      </c>
      <c r="AA69" s="24">
        <f t="shared" si="87"/>
        <v>514.1377990085108</v>
      </c>
      <c r="AB69" s="24">
        <f t="shared" si="87"/>
        <v>524.42055498868103</v>
      </c>
      <c r="AC69" s="24">
        <f t="shared" si="87"/>
        <v>534.90896608845469</v>
      </c>
      <c r="AD69" s="24">
        <f t="shared" si="87"/>
        <v>545.60714541022378</v>
      </c>
      <c r="AE69" s="24">
        <f t="shared" si="87"/>
        <v>556.51928831842827</v>
      </c>
      <c r="AF69" s="24">
        <f t="shared" si="87"/>
        <v>567.64967408479686</v>
      </c>
      <c r="AG69" s="24">
        <f t="shared" si="87"/>
        <v>579.00266756649285</v>
      </c>
      <c r="AH69" s="24">
        <f t="shared" si="87"/>
        <v>590.58272091782271</v>
      </c>
    </row>
    <row r="70" spans="1:34" ht="11.25" customHeight="1" x14ac:dyDescent="0.2">
      <c r="A70" s="23">
        <v>66</v>
      </c>
      <c r="B70" s="24">
        <v>125</v>
      </c>
      <c r="C70" s="24">
        <v>176</v>
      </c>
      <c r="D70" s="24">
        <v>240</v>
      </c>
      <c r="E70" s="24">
        <v>292</v>
      </c>
      <c r="F70" s="24">
        <v>358</v>
      </c>
      <c r="G70" s="24">
        <v>432.8</v>
      </c>
      <c r="H70" s="24">
        <f t="shared" ref="H70:AH70" si="88">G70*1.02</f>
        <v>441.45600000000002</v>
      </c>
      <c r="I70" s="24">
        <f t="shared" si="88"/>
        <v>450.28512000000001</v>
      </c>
      <c r="J70" s="24">
        <f t="shared" si="88"/>
        <v>459.29082240000002</v>
      </c>
      <c r="K70" s="24">
        <f t="shared" si="88"/>
        <v>468.47663884800005</v>
      </c>
      <c r="L70" s="24">
        <f t="shared" si="88"/>
        <v>477.84617162496005</v>
      </c>
      <c r="M70" s="24">
        <f t="shared" si="88"/>
        <v>487.40309505745927</v>
      </c>
      <c r="N70" s="24">
        <f t="shared" si="88"/>
        <v>497.15115695860845</v>
      </c>
      <c r="O70" s="24">
        <f t="shared" si="88"/>
        <v>507.09418009778062</v>
      </c>
      <c r="P70" s="24">
        <f t="shared" si="88"/>
        <v>517.23606369973629</v>
      </c>
      <c r="Q70" s="24">
        <f t="shared" si="88"/>
        <v>527.58078497373106</v>
      </c>
      <c r="R70" s="24">
        <f t="shared" si="88"/>
        <v>538.13240067320567</v>
      </c>
      <c r="S70" s="24">
        <f t="shared" si="88"/>
        <v>548.89504868666984</v>
      </c>
      <c r="T70" s="24">
        <f t="shared" si="88"/>
        <v>559.87294966040326</v>
      </c>
      <c r="U70" s="24">
        <f t="shared" si="88"/>
        <v>571.07040865361137</v>
      </c>
      <c r="V70" s="24">
        <f t="shared" si="88"/>
        <v>582.49181682668359</v>
      </c>
      <c r="W70" s="24">
        <f t="shared" si="88"/>
        <v>594.14165316321726</v>
      </c>
      <c r="X70" s="24">
        <f t="shared" si="88"/>
        <v>606.0244862264816</v>
      </c>
      <c r="Y70" s="24">
        <f t="shared" si="88"/>
        <v>618.14497595101125</v>
      </c>
      <c r="Z70" s="24">
        <f t="shared" si="88"/>
        <v>630.50787547003154</v>
      </c>
      <c r="AA70" s="24">
        <f t="shared" si="88"/>
        <v>643.1180329794322</v>
      </c>
      <c r="AB70" s="24">
        <f t="shared" si="88"/>
        <v>655.9803936390208</v>
      </c>
      <c r="AC70" s="24">
        <f t="shared" si="88"/>
        <v>669.10000151180122</v>
      </c>
      <c r="AD70" s="24">
        <f t="shared" si="88"/>
        <v>682.48200154203721</v>
      </c>
      <c r="AE70" s="24">
        <f t="shared" si="88"/>
        <v>696.13164157287792</v>
      </c>
      <c r="AF70" s="24">
        <f t="shared" si="88"/>
        <v>710.0542744043355</v>
      </c>
      <c r="AG70" s="24">
        <f t="shared" si="88"/>
        <v>724.25535989242223</v>
      </c>
      <c r="AH70" s="24">
        <f t="shared" si="88"/>
        <v>738.74046709027073</v>
      </c>
    </row>
    <row r="71" spans="1:34" ht="11.25" customHeight="1" x14ac:dyDescent="0.2">
      <c r="A71" s="23">
        <v>67</v>
      </c>
      <c r="B71" s="24">
        <v>102.6</v>
      </c>
      <c r="C71" s="24">
        <v>172.7</v>
      </c>
      <c r="D71" s="24">
        <v>220.5</v>
      </c>
      <c r="E71" s="24">
        <v>246.8</v>
      </c>
      <c r="F71" s="24">
        <v>285.7</v>
      </c>
      <c r="G71" s="24">
        <v>318.39999999999998</v>
      </c>
      <c r="H71" s="24">
        <f t="shared" ref="H71:AH71" si="89">G71*1.02</f>
        <v>324.76799999999997</v>
      </c>
      <c r="I71" s="24">
        <f t="shared" si="89"/>
        <v>331.26335999999998</v>
      </c>
      <c r="J71" s="24">
        <f t="shared" si="89"/>
        <v>337.88862719999997</v>
      </c>
      <c r="K71" s="24">
        <f t="shared" si="89"/>
        <v>344.64639974400001</v>
      </c>
      <c r="L71" s="24">
        <f t="shared" si="89"/>
        <v>351.53932773887999</v>
      </c>
      <c r="M71" s="24">
        <f t="shared" si="89"/>
        <v>358.57011429365758</v>
      </c>
      <c r="N71" s="24">
        <f t="shared" si="89"/>
        <v>365.74151657953075</v>
      </c>
      <c r="O71" s="24">
        <f t="shared" si="89"/>
        <v>373.05634691112135</v>
      </c>
      <c r="P71" s="24">
        <f t="shared" si="89"/>
        <v>380.51747384934379</v>
      </c>
      <c r="Q71" s="24">
        <f t="shared" si="89"/>
        <v>388.12782332633066</v>
      </c>
      <c r="R71" s="24">
        <f t="shared" si="89"/>
        <v>395.89037979285729</v>
      </c>
      <c r="S71" s="24">
        <f t="shared" si="89"/>
        <v>403.80818738871443</v>
      </c>
      <c r="T71" s="24">
        <f t="shared" si="89"/>
        <v>411.8843511364887</v>
      </c>
      <c r="U71" s="24">
        <f t="shared" si="89"/>
        <v>420.1220381592185</v>
      </c>
      <c r="V71" s="24">
        <f t="shared" si="89"/>
        <v>428.52447892240286</v>
      </c>
      <c r="W71" s="24">
        <f t="shared" si="89"/>
        <v>437.09496850085094</v>
      </c>
      <c r="X71" s="24">
        <f t="shared" si="89"/>
        <v>445.83686787086799</v>
      </c>
      <c r="Y71" s="24">
        <f t="shared" si="89"/>
        <v>454.75360522828538</v>
      </c>
      <c r="Z71" s="24">
        <f t="shared" si="89"/>
        <v>463.84867733285108</v>
      </c>
      <c r="AA71" s="24">
        <f t="shared" si="89"/>
        <v>473.1256508795081</v>
      </c>
      <c r="AB71" s="24">
        <f t="shared" si="89"/>
        <v>482.5881638970983</v>
      </c>
      <c r="AC71" s="24">
        <f t="shared" si="89"/>
        <v>492.23992717504029</v>
      </c>
      <c r="AD71" s="24">
        <f t="shared" si="89"/>
        <v>502.08472571854111</v>
      </c>
      <c r="AE71" s="24">
        <f t="shared" si="89"/>
        <v>512.12642023291198</v>
      </c>
      <c r="AF71" s="24">
        <f t="shared" si="89"/>
        <v>522.36894863757027</v>
      </c>
      <c r="AG71" s="24">
        <f t="shared" si="89"/>
        <v>532.81632761032165</v>
      </c>
      <c r="AH71" s="24">
        <f t="shared" si="89"/>
        <v>543.4726541625281</v>
      </c>
    </row>
    <row r="72" spans="1:34" ht="11.25" customHeight="1" x14ac:dyDescent="0.2">
      <c r="A72" s="23">
        <v>68</v>
      </c>
      <c r="B72" s="24">
        <v>103</v>
      </c>
      <c r="C72" s="24">
        <v>124</v>
      </c>
      <c r="D72" s="24">
        <v>155</v>
      </c>
      <c r="E72" s="24">
        <v>191</v>
      </c>
      <c r="F72" s="24">
        <v>216</v>
      </c>
      <c r="G72" s="24">
        <v>367.2</v>
      </c>
      <c r="H72" s="24">
        <f t="shared" ref="H72:AH72" si="90">G72*1.02</f>
        <v>374.54399999999998</v>
      </c>
      <c r="I72" s="24">
        <f t="shared" si="90"/>
        <v>382.03487999999999</v>
      </c>
      <c r="J72" s="24">
        <f t="shared" si="90"/>
        <v>389.6755776</v>
      </c>
      <c r="K72" s="24">
        <f t="shared" si="90"/>
        <v>397.46908915199998</v>
      </c>
      <c r="L72" s="24">
        <f t="shared" si="90"/>
        <v>405.41847093503998</v>
      </c>
      <c r="M72" s="24">
        <f t="shared" si="90"/>
        <v>413.52684035374079</v>
      </c>
      <c r="N72" s="24">
        <f t="shared" si="90"/>
        <v>421.79737716081564</v>
      </c>
      <c r="O72" s="24">
        <f t="shared" si="90"/>
        <v>430.23332470403199</v>
      </c>
      <c r="P72" s="24">
        <f t="shared" si="90"/>
        <v>438.83799119811266</v>
      </c>
      <c r="Q72" s="24">
        <f t="shared" si="90"/>
        <v>447.61475102207493</v>
      </c>
      <c r="R72" s="24">
        <f t="shared" si="90"/>
        <v>456.56704604251644</v>
      </c>
      <c r="S72" s="24">
        <f t="shared" si="90"/>
        <v>465.69838696336677</v>
      </c>
      <c r="T72" s="24">
        <f t="shared" si="90"/>
        <v>475.01235470263413</v>
      </c>
      <c r="U72" s="24">
        <f t="shared" si="90"/>
        <v>484.51260179668679</v>
      </c>
      <c r="V72" s="24">
        <f t="shared" si="90"/>
        <v>494.20285383262052</v>
      </c>
      <c r="W72" s="24">
        <f t="shared" si="90"/>
        <v>504.08691090927294</v>
      </c>
      <c r="X72" s="24">
        <f t="shared" si="90"/>
        <v>514.16864912745837</v>
      </c>
      <c r="Y72" s="24">
        <f t="shared" si="90"/>
        <v>524.45202211000753</v>
      </c>
      <c r="Z72" s="24">
        <f t="shared" si="90"/>
        <v>534.94106255220765</v>
      </c>
      <c r="AA72" s="24">
        <f t="shared" si="90"/>
        <v>545.63988380325179</v>
      </c>
      <c r="AB72" s="24">
        <f t="shared" si="90"/>
        <v>556.55268147931679</v>
      </c>
      <c r="AC72" s="24">
        <f t="shared" si="90"/>
        <v>567.68373510890308</v>
      </c>
      <c r="AD72" s="24">
        <f t="shared" si="90"/>
        <v>579.03740981108115</v>
      </c>
      <c r="AE72" s="24">
        <f t="shared" si="90"/>
        <v>590.61815800730278</v>
      </c>
      <c r="AF72" s="24">
        <f t="shared" si="90"/>
        <v>602.43052116744889</v>
      </c>
      <c r="AG72" s="24">
        <f t="shared" si="90"/>
        <v>614.47913159079792</v>
      </c>
      <c r="AH72" s="24">
        <f t="shared" si="90"/>
        <v>626.76871422261388</v>
      </c>
    </row>
    <row r="73" spans="1:34" ht="11.25" customHeight="1" x14ac:dyDescent="0.2">
      <c r="A73" s="23">
        <v>69</v>
      </c>
      <c r="B73" s="24">
        <v>95.8</v>
      </c>
      <c r="C73" s="24">
        <v>137</v>
      </c>
      <c r="D73" s="24">
        <v>173</v>
      </c>
      <c r="E73" s="24">
        <v>206</v>
      </c>
      <c r="F73" s="24">
        <v>240</v>
      </c>
      <c r="G73" s="24">
        <v>286</v>
      </c>
      <c r="H73" s="24">
        <f t="shared" ref="H73:AH73" si="91">G73*1.02</f>
        <v>291.72000000000003</v>
      </c>
      <c r="I73" s="24">
        <f t="shared" si="91"/>
        <v>297.55440000000004</v>
      </c>
      <c r="J73" s="24">
        <f t="shared" si="91"/>
        <v>303.50548800000007</v>
      </c>
      <c r="K73" s="24">
        <f t="shared" si="91"/>
        <v>309.57559776000005</v>
      </c>
      <c r="L73" s="24">
        <f t="shared" si="91"/>
        <v>315.76710971520004</v>
      </c>
      <c r="M73" s="24">
        <f t="shared" si="91"/>
        <v>322.08245190950402</v>
      </c>
      <c r="N73" s="24">
        <f t="shared" si="91"/>
        <v>328.52410094769408</v>
      </c>
      <c r="O73" s="24">
        <f t="shared" si="91"/>
        <v>335.09458296664798</v>
      </c>
      <c r="P73" s="24">
        <f t="shared" si="91"/>
        <v>341.79647462598092</v>
      </c>
      <c r="Q73" s="24">
        <f t="shared" si="91"/>
        <v>348.63240411850052</v>
      </c>
      <c r="R73" s="24">
        <f t="shared" si="91"/>
        <v>355.60505220087055</v>
      </c>
      <c r="S73" s="24">
        <f t="shared" si="91"/>
        <v>362.71715324488798</v>
      </c>
      <c r="T73" s="24">
        <f t="shared" si="91"/>
        <v>369.97149630978572</v>
      </c>
      <c r="U73" s="24">
        <f t="shared" si="91"/>
        <v>377.37092623598141</v>
      </c>
      <c r="V73" s="24">
        <f t="shared" si="91"/>
        <v>384.91834476070107</v>
      </c>
      <c r="W73" s="24">
        <f t="shared" si="91"/>
        <v>392.61671165591508</v>
      </c>
      <c r="X73" s="24">
        <f t="shared" si="91"/>
        <v>400.4690458890334</v>
      </c>
      <c r="Y73" s="24">
        <f t="shared" si="91"/>
        <v>408.47842680681407</v>
      </c>
      <c r="Z73" s="24">
        <f t="shared" si="91"/>
        <v>416.64799534295037</v>
      </c>
      <c r="AA73" s="24">
        <f t="shared" si="91"/>
        <v>424.98095524980937</v>
      </c>
      <c r="AB73" s="24">
        <f t="shared" si="91"/>
        <v>433.48057435480558</v>
      </c>
      <c r="AC73" s="24">
        <f t="shared" si="91"/>
        <v>442.1501858419017</v>
      </c>
      <c r="AD73" s="24">
        <f t="shared" si="91"/>
        <v>450.99318955873974</v>
      </c>
      <c r="AE73" s="24">
        <f t="shared" si="91"/>
        <v>460.01305334991457</v>
      </c>
      <c r="AF73" s="24">
        <f t="shared" si="91"/>
        <v>469.21331441691285</v>
      </c>
      <c r="AG73" s="24">
        <f t="shared" si="91"/>
        <v>478.59758070525112</v>
      </c>
      <c r="AH73" s="24">
        <f t="shared" si="91"/>
        <v>488.16953231935616</v>
      </c>
    </row>
    <row r="74" spans="1:34" ht="11.25" customHeight="1" x14ac:dyDescent="0.2">
      <c r="A74" s="23">
        <v>70</v>
      </c>
      <c r="B74" s="24">
        <v>107.3</v>
      </c>
      <c r="C74" s="24">
        <v>170</v>
      </c>
      <c r="D74" s="24">
        <v>223.6</v>
      </c>
      <c r="E74" s="24">
        <v>263</v>
      </c>
      <c r="F74" s="24">
        <v>305.7</v>
      </c>
      <c r="G74" s="24">
        <v>341.9</v>
      </c>
      <c r="H74" s="24">
        <f t="shared" ref="H74:AH74" si="92">G74*1.02</f>
        <v>348.738</v>
      </c>
      <c r="I74" s="24">
        <f t="shared" si="92"/>
        <v>355.71276</v>
      </c>
      <c r="J74" s="24">
        <f t="shared" si="92"/>
        <v>362.82701520000001</v>
      </c>
      <c r="K74" s="24">
        <f t="shared" si="92"/>
        <v>370.083555504</v>
      </c>
      <c r="L74" s="24">
        <f t="shared" si="92"/>
        <v>377.48522661408003</v>
      </c>
      <c r="M74" s="24">
        <f t="shared" si="92"/>
        <v>385.03493114636166</v>
      </c>
      <c r="N74" s="24">
        <f t="shared" si="92"/>
        <v>392.73562976928889</v>
      </c>
      <c r="O74" s="24">
        <f t="shared" si="92"/>
        <v>400.59034236467465</v>
      </c>
      <c r="P74" s="24">
        <f t="shared" si="92"/>
        <v>408.60214921196814</v>
      </c>
      <c r="Q74" s="24">
        <f t="shared" si="92"/>
        <v>416.77419219620754</v>
      </c>
      <c r="R74" s="24">
        <f t="shared" si="92"/>
        <v>425.10967604013172</v>
      </c>
      <c r="S74" s="24">
        <f t="shared" si="92"/>
        <v>433.61186956093434</v>
      </c>
      <c r="T74" s="24">
        <f t="shared" si="92"/>
        <v>442.28410695215302</v>
      </c>
      <c r="U74" s="24">
        <f t="shared" si="92"/>
        <v>451.12978909119607</v>
      </c>
      <c r="V74" s="24">
        <f t="shared" si="92"/>
        <v>460.15238487302003</v>
      </c>
      <c r="W74" s="24">
        <f t="shared" si="92"/>
        <v>469.35543257048045</v>
      </c>
      <c r="X74" s="24">
        <f t="shared" si="92"/>
        <v>478.74254122189006</v>
      </c>
      <c r="Y74" s="24">
        <f t="shared" si="92"/>
        <v>488.31739204632788</v>
      </c>
      <c r="Z74" s="24">
        <f t="shared" si="92"/>
        <v>498.08373988725447</v>
      </c>
      <c r="AA74" s="24">
        <f t="shared" si="92"/>
        <v>508.04541468499957</v>
      </c>
      <c r="AB74" s="24">
        <f t="shared" si="92"/>
        <v>518.20632297869952</v>
      </c>
      <c r="AC74" s="24">
        <f t="shared" si="92"/>
        <v>528.5704494382735</v>
      </c>
      <c r="AD74" s="24">
        <f t="shared" si="92"/>
        <v>539.14185842703898</v>
      </c>
      <c r="AE74" s="24">
        <f t="shared" si="92"/>
        <v>549.92469559557981</v>
      </c>
      <c r="AF74" s="24">
        <f t="shared" si="92"/>
        <v>560.92318950749143</v>
      </c>
      <c r="AG74" s="24">
        <f t="shared" si="92"/>
        <v>572.14165329764126</v>
      </c>
      <c r="AH74" s="24">
        <f t="shared" si="92"/>
        <v>583.58448636359412</v>
      </c>
    </row>
    <row r="75" spans="1:34" ht="11.25" customHeight="1" x14ac:dyDescent="0.2">
      <c r="A75" s="23">
        <v>71</v>
      </c>
      <c r="B75" s="24">
        <v>89.7</v>
      </c>
      <c r="C75" s="24">
        <v>134</v>
      </c>
      <c r="D75" s="24">
        <v>169</v>
      </c>
      <c r="E75" s="24">
        <v>202</v>
      </c>
      <c r="F75" s="24">
        <v>239</v>
      </c>
      <c r="G75" s="24">
        <v>271.3</v>
      </c>
      <c r="H75" s="24">
        <f t="shared" ref="H75:AH75" si="93">G75*1.02</f>
        <v>276.726</v>
      </c>
      <c r="I75" s="24">
        <f t="shared" si="93"/>
        <v>282.26051999999999</v>
      </c>
      <c r="J75" s="24">
        <f t="shared" si="93"/>
        <v>287.90573039999998</v>
      </c>
      <c r="K75" s="24">
        <f t="shared" si="93"/>
        <v>293.66384500800001</v>
      </c>
      <c r="L75" s="24">
        <f t="shared" si="93"/>
        <v>299.53712190816003</v>
      </c>
      <c r="M75" s="24">
        <f t="shared" si="93"/>
        <v>305.52786434632321</v>
      </c>
      <c r="N75" s="24">
        <f t="shared" si="93"/>
        <v>311.63842163324966</v>
      </c>
      <c r="O75" s="24">
        <f t="shared" si="93"/>
        <v>317.87119006591467</v>
      </c>
      <c r="P75" s="24">
        <f t="shared" si="93"/>
        <v>324.22861386723298</v>
      </c>
      <c r="Q75" s="24">
        <f t="shared" si="93"/>
        <v>330.71318614457766</v>
      </c>
      <c r="R75" s="24">
        <f t="shared" si="93"/>
        <v>337.32744986746923</v>
      </c>
      <c r="S75" s="24">
        <f t="shared" si="93"/>
        <v>344.07399886481863</v>
      </c>
      <c r="T75" s="24">
        <f t="shared" si="93"/>
        <v>350.95547884211499</v>
      </c>
      <c r="U75" s="24">
        <f t="shared" si="93"/>
        <v>357.9745884189573</v>
      </c>
      <c r="V75" s="24">
        <f t="shared" si="93"/>
        <v>365.13408018733645</v>
      </c>
      <c r="W75" s="24">
        <f t="shared" si="93"/>
        <v>372.4367617910832</v>
      </c>
      <c r="X75" s="24">
        <f t="shared" si="93"/>
        <v>379.88549702690489</v>
      </c>
      <c r="Y75" s="24">
        <f t="shared" si="93"/>
        <v>387.48320696744298</v>
      </c>
      <c r="Z75" s="24">
        <f t="shared" si="93"/>
        <v>395.23287110679183</v>
      </c>
      <c r="AA75" s="24">
        <f t="shared" si="93"/>
        <v>403.1375285289277</v>
      </c>
      <c r="AB75" s="24">
        <f t="shared" si="93"/>
        <v>411.20027909950625</v>
      </c>
      <c r="AC75" s="24">
        <f t="shared" si="93"/>
        <v>419.42428468149637</v>
      </c>
      <c r="AD75" s="24">
        <f t="shared" si="93"/>
        <v>427.81277037512632</v>
      </c>
      <c r="AE75" s="24">
        <f t="shared" si="93"/>
        <v>436.36902578262885</v>
      </c>
      <c r="AF75" s="24">
        <f t="shared" si="93"/>
        <v>445.09640629828147</v>
      </c>
      <c r="AG75" s="24">
        <f t="shared" si="93"/>
        <v>453.9983344242471</v>
      </c>
      <c r="AH75" s="24">
        <f t="shared" si="93"/>
        <v>463.07830111273205</v>
      </c>
    </row>
    <row r="76" spans="1:34" ht="11.25" customHeight="1" x14ac:dyDescent="0.2">
      <c r="A76" s="23">
        <v>72</v>
      </c>
      <c r="B76" s="24">
        <v>80</v>
      </c>
      <c r="C76" s="24">
        <v>131.9</v>
      </c>
      <c r="D76" s="24">
        <v>163.6</v>
      </c>
      <c r="E76" s="24">
        <v>184.3</v>
      </c>
      <c r="F76" s="24">
        <v>211.3</v>
      </c>
      <c r="G76" s="24">
        <v>236</v>
      </c>
      <c r="H76" s="24">
        <f t="shared" ref="H76:AH76" si="94">G76*1.02</f>
        <v>240.72</v>
      </c>
      <c r="I76" s="24">
        <f t="shared" si="94"/>
        <v>245.53440000000001</v>
      </c>
      <c r="J76" s="24">
        <f t="shared" si="94"/>
        <v>250.445088</v>
      </c>
      <c r="K76" s="24">
        <f t="shared" si="94"/>
        <v>255.45398976000001</v>
      </c>
      <c r="L76" s="24">
        <f t="shared" si="94"/>
        <v>260.5630695552</v>
      </c>
      <c r="M76" s="24">
        <f t="shared" si="94"/>
        <v>265.77433094630402</v>
      </c>
      <c r="N76" s="24">
        <f t="shared" si="94"/>
        <v>271.08981756523008</v>
      </c>
      <c r="O76" s="24">
        <f t="shared" si="94"/>
        <v>276.51161391653466</v>
      </c>
      <c r="P76" s="24">
        <f t="shared" si="94"/>
        <v>282.04184619486534</v>
      </c>
      <c r="Q76" s="24">
        <f t="shared" si="94"/>
        <v>287.68268311876267</v>
      </c>
      <c r="R76" s="24">
        <f t="shared" si="94"/>
        <v>293.43633678113792</v>
      </c>
      <c r="S76" s="24">
        <f t="shared" si="94"/>
        <v>299.3050635167607</v>
      </c>
      <c r="T76" s="24">
        <f t="shared" si="94"/>
        <v>305.29116478709591</v>
      </c>
      <c r="U76" s="24">
        <f t="shared" si="94"/>
        <v>311.39698808283782</v>
      </c>
      <c r="V76" s="24">
        <f t="shared" si="94"/>
        <v>317.62492784449461</v>
      </c>
      <c r="W76" s="24">
        <f t="shared" si="94"/>
        <v>323.97742640138449</v>
      </c>
      <c r="X76" s="24">
        <f t="shared" si="94"/>
        <v>330.45697492941218</v>
      </c>
      <c r="Y76" s="24">
        <f t="shared" si="94"/>
        <v>337.06611442800045</v>
      </c>
      <c r="Z76" s="24">
        <f t="shared" si="94"/>
        <v>343.80743671656046</v>
      </c>
      <c r="AA76" s="24">
        <f t="shared" si="94"/>
        <v>350.68358545089166</v>
      </c>
      <c r="AB76" s="24">
        <f t="shared" si="94"/>
        <v>357.6972571599095</v>
      </c>
      <c r="AC76" s="24">
        <f t="shared" si="94"/>
        <v>364.8512023031077</v>
      </c>
      <c r="AD76" s="24">
        <f t="shared" si="94"/>
        <v>372.14822634916987</v>
      </c>
      <c r="AE76" s="24">
        <f t="shared" si="94"/>
        <v>379.59119087615329</v>
      </c>
      <c r="AF76" s="24">
        <f t="shared" si="94"/>
        <v>387.18301469367634</v>
      </c>
      <c r="AG76" s="24">
        <f t="shared" si="94"/>
        <v>394.92667498754986</v>
      </c>
      <c r="AH76" s="24">
        <f t="shared" si="94"/>
        <v>402.82520848730087</v>
      </c>
    </row>
    <row r="77" spans="1:34" ht="11.25" customHeight="1" x14ac:dyDescent="0.2">
      <c r="A77" s="23">
        <v>73</v>
      </c>
      <c r="B77" s="24">
        <v>101.4</v>
      </c>
      <c r="C77" s="24">
        <v>149</v>
      </c>
      <c r="D77" s="24">
        <v>181</v>
      </c>
      <c r="E77" s="24">
        <v>225</v>
      </c>
      <c r="F77" s="24">
        <v>256</v>
      </c>
      <c r="G77" s="24">
        <v>313.89999999999998</v>
      </c>
      <c r="H77" s="24">
        <f t="shared" ref="H77:AH77" si="95">G77*1.02</f>
        <v>320.178</v>
      </c>
      <c r="I77" s="24">
        <f t="shared" si="95"/>
        <v>326.58156000000002</v>
      </c>
      <c r="J77" s="24">
        <f t="shared" si="95"/>
        <v>333.11319120000002</v>
      </c>
      <c r="K77" s="24">
        <f t="shared" si="95"/>
        <v>339.775455024</v>
      </c>
      <c r="L77" s="24">
        <f t="shared" si="95"/>
        <v>346.57096412447999</v>
      </c>
      <c r="M77" s="24">
        <f t="shared" si="95"/>
        <v>353.50238340696961</v>
      </c>
      <c r="N77" s="24">
        <f t="shared" si="95"/>
        <v>360.57243107510902</v>
      </c>
      <c r="O77" s="24">
        <f t="shared" si="95"/>
        <v>367.78387969661122</v>
      </c>
      <c r="P77" s="24">
        <f t="shared" si="95"/>
        <v>375.13955729054345</v>
      </c>
      <c r="Q77" s="24">
        <f t="shared" si="95"/>
        <v>382.64234843635433</v>
      </c>
      <c r="R77" s="24">
        <f t="shared" si="95"/>
        <v>390.29519540508142</v>
      </c>
      <c r="S77" s="24">
        <f t="shared" si="95"/>
        <v>398.10109931318306</v>
      </c>
      <c r="T77" s="24">
        <f t="shared" si="95"/>
        <v>406.06312129944672</v>
      </c>
      <c r="U77" s="24">
        <f t="shared" si="95"/>
        <v>414.18438372543568</v>
      </c>
      <c r="V77" s="24">
        <f t="shared" si="95"/>
        <v>422.46807139994439</v>
      </c>
      <c r="W77" s="24">
        <f t="shared" si="95"/>
        <v>430.91743282794329</v>
      </c>
      <c r="X77" s="24">
        <f t="shared" si="95"/>
        <v>439.53578148450214</v>
      </c>
      <c r="Y77" s="24">
        <f t="shared" si="95"/>
        <v>448.32649711419219</v>
      </c>
      <c r="Z77" s="24">
        <f t="shared" si="95"/>
        <v>457.29302705647603</v>
      </c>
      <c r="AA77" s="24">
        <f t="shared" si="95"/>
        <v>466.43888759760557</v>
      </c>
      <c r="AB77" s="24">
        <f t="shared" si="95"/>
        <v>475.76766534955772</v>
      </c>
      <c r="AC77" s="24">
        <f t="shared" si="95"/>
        <v>485.2830186565489</v>
      </c>
      <c r="AD77" s="24">
        <f t="shared" si="95"/>
        <v>494.98867902967987</v>
      </c>
      <c r="AE77" s="24">
        <f t="shared" si="95"/>
        <v>504.88845261027348</v>
      </c>
      <c r="AF77" s="24">
        <f t="shared" si="95"/>
        <v>514.9862216624789</v>
      </c>
      <c r="AG77" s="24">
        <f t="shared" si="95"/>
        <v>525.28594609572849</v>
      </c>
      <c r="AH77" s="24">
        <f t="shared" si="95"/>
        <v>535.79166501764303</v>
      </c>
    </row>
    <row r="78" spans="1:34" ht="11.25" customHeight="1" x14ac:dyDescent="0.2">
      <c r="A78" s="23">
        <v>74</v>
      </c>
      <c r="B78" s="24">
        <v>102.5</v>
      </c>
      <c r="C78" s="24">
        <v>172.5</v>
      </c>
      <c r="D78" s="24">
        <v>220.3</v>
      </c>
      <c r="E78" s="24">
        <v>246.5</v>
      </c>
      <c r="F78" s="24">
        <v>285.39999999999998</v>
      </c>
      <c r="G78" s="24">
        <v>318</v>
      </c>
      <c r="H78" s="24">
        <f t="shared" ref="H78:AH78" si="96">G78*1.02</f>
        <v>324.36</v>
      </c>
      <c r="I78" s="24">
        <f t="shared" si="96"/>
        <v>330.84720000000004</v>
      </c>
      <c r="J78" s="24">
        <f t="shared" si="96"/>
        <v>337.46414400000003</v>
      </c>
      <c r="K78" s="24">
        <f t="shared" si="96"/>
        <v>344.21342688000004</v>
      </c>
      <c r="L78" s="24">
        <f t="shared" si="96"/>
        <v>351.09769541760005</v>
      </c>
      <c r="M78" s="24">
        <f t="shared" si="96"/>
        <v>358.11964932595208</v>
      </c>
      <c r="N78" s="24">
        <f t="shared" si="96"/>
        <v>365.28204231247111</v>
      </c>
      <c r="O78" s="24">
        <f t="shared" si="96"/>
        <v>372.58768315872055</v>
      </c>
      <c r="P78" s="24">
        <f t="shared" si="96"/>
        <v>380.03943682189498</v>
      </c>
      <c r="Q78" s="24">
        <f t="shared" si="96"/>
        <v>387.64022555833287</v>
      </c>
      <c r="R78" s="24">
        <f t="shared" si="96"/>
        <v>395.39303006949956</v>
      </c>
      <c r="S78" s="24">
        <f t="shared" si="96"/>
        <v>403.30089067088954</v>
      </c>
      <c r="T78" s="24">
        <f t="shared" si="96"/>
        <v>411.36690848430732</v>
      </c>
      <c r="U78" s="24">
        <f t="shared" si="96"/>
        <v>419.59424665399348</v>
      </c>
      <c r="V78" s="24">
        <f t="shared" si="96"/>
        <v>427.98613158707337</v>
      </c>
      <c r="W78" s="24">
        <f t="shared" si="96"/>
        <v>436.54585421881484</v>
      </c>
      <c r="X78" s="24">
        <f t="shared" si="96"/>
        <v>445.27677130319114</v>
      </c>
      <c r="Y78" s="24">
        <f t="shared" si="96"/>
        <v>454.18230672925495</v>
      </c>
      <c r="Z78" s="24">
        <f t="shared" si="96"/>
        <v>463.26595286384003</v>
      </c>
      <c r="AA78" s="24">
        <f t="shared" si="96"/>
        <v>472.53127192111685</v>
      </c>
      <c r="AB78" s="24">
        <f t="shared" si="96"/>
        <v>481.98189735953918</v>
      </c>
      <c r="AC78" s="24">
        <f t="shared" si="96"/>
        <v>491.62153530672998</v>
      </c>
      <c r="AD78" s="24">
        <f t="shared" si="96"/>
        <v>501.45396601286461</v>
      </c>
      <c r="AE78" s="24">
        <f t="shared" si="96"/>
        <v>511.48304533312194</v>
      </c>
      <c r="AF78" s="24">
        <f t="shared" si="96"/>
        <v>521.71270623978444</v>
      </c>
      <c r="AG78" s="24">
        <f t="shared" si="96"/>
        <v>532.14696036458008</v>
      </c>
      <c r="AH78" s="24">
        <f t="shared" si="96"/>
        <v>542.78989957187173</v>
      </c>
    </row>
    <row r="79" spans="1:34" ht="11.25" customHeight="1" x14ac:dyDescent="0.2">
      <c r="A79" s="23">
        <v>75</v>
      </c>
      <c r="B79" s="24">
        <v>82.5</v>
      </c>
      <c r="C79" s="24">
        <v>109</v>
      </c>
      <c r="D79" s="24">
        <v>124</v>
      </c>
      <c r="E79" s="24">
        <v>137</v>
      </c>
      <c r="F79" s="24">
        <v>151</v>
      </c>
      <c r="G79" s="24">
        <v>166</v>
      </c>
      <c r="H79" s="24">
        <f t="shared" ref="H79:AH79" si="97">G79*1.02</f>
        <v>169.32</v>
      </c>
      <c r="I79" s="24">
        <f t="shared" si="97"/>
        <v>172.7064</v>
      </c>
      <c r="J79" s="24">
        <f t="shared" si="97"/>
        <v>176.160528</v>
      </c>
      <c r="K79" s="24">
        <f t="shared" si="97"/>
        <v>179.68373855999999</v>
      </c>
      <c r="L79" s="24">
        <f t="shared" si="97"/>
        <v>183.27741333119999</v>
      </c>
      <c r="M79" s="24">
        <f t="shared" si="97"/>
        <v>186.942961597824</v>
      </c>
      <c r="N79" s="24">
        <f t="shared" si="97"/>
        <v>190.68182082978049</v>
      </c>
      <c r="O79" s="24">
        <f t="shared" si="97"/>
        <v>194.49545724637611</v>
      </c>
      <c r="P79" s="24">
        <f t="shared" si="97"/>
        <v>198.38536639130362</v>
      </c>
      <c r="Q79" s="24">
        <f t="shared" si="97"/>
        <v>202.3530737191297</v>
      </c>
      <c r="R79" s="24">
        <f t="shared" si="97"/>
        <v>206.40013519351228</v>
      </c>
      <c r="S79" s="24">
        <f t="shared" si="97"/>
        <v>210.52813789738252</v>
      </c>
      <c r="T79" s="24">
        <f t="shared" si="97"/>
        <v>214.73870065533018</v>
      </c>
      <c r="U79" s="24">
        <f t="shared" si="97"/>
        <v>219.03347466843678</v>
      </c>
      <c r="V79" s="24">
        <f t="shared" si="97"/>
        <v>223.41414416180552</v>
      </c>
      <c r="W79" s="24">
        <f t="shared" si="97"/>
        <v>227.88242704504165</v>
      </c>
      <c r="X79" s="24">
        <f t="shared" si="97"/>
        <v>232.44007558594248</v>
      </c>
      <c r="Y79" s="24">
        <f t="shared" si="97"/>
        <v>237.08887709766134</v>
      </c>
      <c r="Z79" s="24">
        <f t="shared" si="97"/>
        <v>241.83065463961458</v>
      </c>
      <c r="AA79" s="24">
        <f t="shared" si="97"/>
        <v>246.66726773240688</v>
      </c>
      <c r="AB79" s="24">
        <f t="shared" si="97"/>
        <v>251.60061308705502</v>
      </c>
      <c r="AC79" s="24">
        <f t="shared" si="97"/>
        <v>256.63262534879613</v>
      </c>
      <c r="AD79" s="24">
        <f t="shared" si="97"/>
        <v>261.76527785577207</v>
      </c>
      <c r="AE79" s="24">
        <f t="shared" si="97"/>
        <v>267.00058341288752</v>
      </c>
      <c r="AF79" s="24">
        <f t="shared" si="97"/>
        <v>272.3405950811453</v>
      </c>
      <c r="AG79" s="24">
        <f t="shared" si="97"/>
        <v>277.78740698276823</v>
      </c>
      <c r="AH79" s="24">
        <f t="shared" si="97"/>
        <v>283.34315512242358</v>
      </c>
    </row>
    <row r="80" spans="1:34" ht="11.25" customHeight="1" x14ac:dyDescent="0.2">
      <c r="A80" s="23">
        <v>76</v>
      </c>
      <c r="B80" s="24">
        <v>82.2</v>
      </c>
      <c r="C80" s="24">
        <v>130.15799999999999</v>
      </c>
      <c r="D80" s="24">
        <v>169.2</v>
      </c>
      <c r="E80" s="24">
        <v>190.4</v>
      </c>
      <c r="F80" s="24">
        <v>218.6</v>
      </c>
      <c r="G80" s="24">
        <v>244</v>
      </c>
      <c r="H80" s="24">
        <f t="shared" ref="H80:AH80" si="98">G80*1.02</f>
        <v>248.88</v>
      </c>
      <c r="I80" s="24">
        <f t="shared" si="98"/>
        <v>253.85759999999999</v>
      </c>
      <c r="J80" s="24">
        <f t="shared" si="98"/>
        <v>258.934752</v>
      </c>
      <c r="K80" s="24">
        <f t="shared" si="98"/>
        <v>264.11344703999998</v>
      </c>
      <c r="L80" s="24">
        <f t="shared" si="98"/>
        <v>269.39571598079999</v>
      </c>
      <c r="M80" s="24">
        <f t="shared" si="98"/>
        <v>274.78363030041601</v>
      </c>
      <c r="N80" s="24">
        <f t="shared" si="98"/>
        <v>280.27930290642433</v>
      </c>
      <c r="O80" s="24">
        <f t="shared" si="98"/>
        <v>285.88488896455283</v>
      </c>
      <c r="P80" s="24">
        <f t="shared" si="98"/>
        <v>291.60258674384391</v>
      </c>
      <c r="Q80" s="24">
        <f t="shared" si="98"/>
        <v>297.43463847872079</v>
      </c>
      <c r="R80" s="24">
        <f t="shared" si="98"/>
        <v>303.38333124829518</v>
      </c>
      <c r="S80" s="24">
        <f t="shared" si="98"/>
        <v>309.45099787326109</v>
      </c>
      <c r="T80" s="24">
        <f t="shared" si="98"/>
        <v>315.64001783072632</v>
      </c>
      <c r="U80" s="24">
        <f t="shared" si="98"/>
        <v>321.95281818734088</v>
      </c>
      <c r="V80" s="24">
        <f t="shared" si="98"/>
        <v>328.39187455108771</v>
      </c>
      <c r="W80" s="24">
        <f t="shared" si="98"/>
        <v>334.95971204210946</v>
      </c>
      <c r="X80" s="24">
        <f t="shared" si="98"/>
        <v>341.65890628295165</v>
      </c>
      <c r="Y80" s="24">
        <f t="shared" si="98"/>
        <v>348.49208440861071</v>
      </c>
      <c r="Z80" s="24">
        <f t="shared" si="98"/>
        <v>355.46192609678292</v>
      </c>
      <c r="AA80" s="24">
        <f t="shared" si="98"/>
        <v>362.57116461871857</v>
      </c>
      <c r="AB80" s="24">
        <f t="shared" si="98"/>
        <v>369.82258791109297</v>
      </c>
      <c r="AC80" s="24">
        <f t="shared" si="98"/>
        <v>377.21903966931484</v>
      </c>
      <c r="AD80" s="24">
        <f t="shared" si="98"/>
        <v>384.76342046270116</v>
      </c>
      <c r="AE80" s="24">
        <f t="shared" si="98"/>
        <v>392.45868887195519</v>
      </c>
      <c r="AF80" s="24">
        <f t="shared" si="98"/>
        <v>400.30786264939428</v>
      </c>
      <c r="AG80" s="24">
        <f t="shared" si="98"/>
        <v>408.3140199023822</v>
      </c>
      <c r="AH80" s="24">
        <f t="shared" si="98"/>
        <v>416.48030030042986</v>
      </c>
    </row>
    <row r="81" spans="1:34" ht="11.25" customHeight="1" x14ac:dyDescent="0.2">
      <c r="A81" s="23">
        <v>77</v>
      </c>
      <c r="B81" s="24">
        <v>87.804999999999993</v>
      </c>
      <c r="C81" s="24">
        <v>103.3</v>
      </c>
      <c r="D81" s="24">
        <v>113.63</v>
      </c>
      <c r="E81" s="24">
        <v>123.96</v>
      </c>
      <c r="F81" s="24">
        <v>134.29</v>
      </c>
      <c r="G81" s="24">
        <v>166</v>
      </c>
      <c r="H81" s="24">
        <f t="shared" ref="H81:AH81" si="99">G81*1.02</f>
        <v>169.32</v>
      </c>
      <c r="I81" s="24">
        <f t="shared" si="99"/>
        <v>172.7064</v>
      </c>
      <c r="J81" s="24">
        <f t="shared" si="99"/>
        <v>176.160528</v>
      </c>
      <c r="K81" s="24">
        <f t="shared" si="99"/>
        <v>179.68373855999999</v>
      </c>
      <c r="L81" s="24">
        <f t="shared" si="99"/>
        <v>183.27741333119999</v>
      </c>
      <c r="M81" s="24">
        <f t="shared" si="99"/>
        <v>186.942961597824</v>
      </c>
      <c r="N81" s="24">
        <f t="shared" si="99"/>
        <v>190.68182082978049</v>
      </c>
      <c r="O81" s="24">
        <f t="shared" si="99"/>
        <v>194.49545724637611</v>
      </c>
      <c r="P81" s="24">
        <f t="shared" si="99"/>
        <v>198.38536639130362</v>
      </c>
      <c r="Q81" s="24">
        <f t="shared" si="99"/>
        <v>202.3530737191297</v>
      </c>
      <c r="R81" s="24">
        <f t="shared" si="99"/>
        <v>206.40013519351228</v>
      </c>
      <c r="S81" s="24">
        <f t="shared" si="99"/>
        <v>210.52813789738252</v>
      </c>
      <c r="T81" s="24">
        <f t="shared" si="99"/>
        <v>214.73870065533018</v>
      </c>
      <c r="U81" s="24">
        <f t="shared" si="99"/>
        <v>219.03347466843678</v>
      </c>
      <c r="V81" s="24">
        <f t="shared" si="99"/>
        <v>223.41414416180552</v>
      </c>
      <c r="W81" s="24">
        <f t="shared" si="99"/>
        <v>227.88242704504165</v>
      </c>
      <c r="X81" s="24">
        <f t="shared" si="99"/>
        <v>232.44007558594248</v>
      </c>
      <c r="Y81" s="24">
        <f t="shared" si="99"/>
        <v>237.08887709766134</v>
      </c>
      <c r="Z81" s="24">
        <f t="shared" si="99"/>
        <v>241.83065463961458</v>
      </c>
      <c r="AA81" s="24">
        <f t="shared" si="99"/>
        <v>246.66726773240688</v>
      </c>
      <c r="AB81" s="24">
        <f t="shared" si="99"/>
        <v>251.60061308705502</v>
      </c>
      <c r="AC81" s="24">
        <f t="shared" si="99"/>
        <v>256.63262534879613</v>
      </c>
      <c r="AD81" s="24">
        <f t="shared" si="99"/>
        <v>261.76527785577207</v>
      </c>
      <c r="AE81" s="24">
        <f t="shared" si="99"/>
        <v>267.00058341288752</v>
      </c>
      <c r="AF81" s="24">
        <f t="shared" si="99"/>
        <v>272.3405950811453</v>
      </c>
      <c r="AG81" s="24">
        <f t="shared" si="99"/>
        <v>277.78740698276823</v>
      </c>
      <c r="AH81" s="24">
        <f t="shared" si="99"/>
        <v>283.34315512242358</v>
      </c>
    </row>
    <row r="82" spans="1:34" ht="11.25" customHeight="1" x14ac:dyDescent="0.2">
      <c r="A82" s="23">
        <v>78</v>
      </c>
      <c r="B82" s="24">
        <v>87.804999999999993</v>
      </c>
      <c r="C82" s="24">
        <v>103.3</v>
      </c>
      <c r="D82" s="24">
        <v>113.63</v>
      </c>
      <c r="E82" s="24">
        <v>123.96</v>
      </c>
      <c r="F82" s="24">
        <v>134.29</v>
      </c>
      <c r="G82" s="24">
        <v>166</v>
      </c>
      <c r="H82" s="24">
        <f t="shared" ref="H82:AH82" si="100">G82*1.02</f>
        <v>169.32</v>
      </c>
      <c r="I82" s="24">
        <f t="shared" si="100"/>
        <v>172.7064</v>
      </c>
      <c r="J82" s="24">
        <f t="shared" si="100"/>
        <v>176.160528</v>
      </c>
      <c r="K82" s="24">
        <f t="shared" si="100"/>
        <v>179.68373855999999</v>
      </c>
      <c r="L82" s="24">
        <f t="shared" si="100"/>
        <v>183.27741333119999</v>
      </c>
      <c r="M82" s="24">
        <f t="shared" si="100"/>
        <v>186.942961597824</v>
      </c>
      <c r="N82" s="24">
        <f t="shared" si="100"/>
        <v>190.68182082978049</v>
      </c>
      <c r="O82" s="24">
        <f t="shared" si="100"/>
        <v>194.49545724637611</v>
      </c>
      <c r="P82" s="24">
        <f t="shared" si="100"/>
        <v>198.38536639130362</v>
      </c>
      <c r="Q82" s="24">
        <f t="shared" si="100"/>
        <v>202.3530737191297</v>
      </c>
      <c r="R82" s="24">
        <f t="shared" si="100"/>
        <v>206.40013519351228</v>
      </c>
      <c r="S82" s="24">
        <f t="shared" si="100"/>
        <v>210.52813789738252</v>
      </c>
      <c r="T82" s="24">
        <f t="shared" si="100"/>
        <v>214.73870065533018</v>
      </c>
      <c r="U82" s="24">
        <f t="shared" si="100"/>
        <v>219.03347466843678</v>
      </c>
      <c r="V82" s="24">
        <f t="shared" si="100"/>
        <v>223.41414416180552</v>
      </c>
      <c r="W82" s="24">
        <f t="shared" si="100"/>
        <v>227.88242704504165</v>
      </c>
      <c r="X82" s="24">
        <f t="shared" si="100"/>
        <v>232.44007558594248</v>
      </c>
      <c r="Y82" s="24">
        <f t="shared" si="100"/>
        <v>237.08887709766134</v>
      </c>
      <c r="Z82" s="24">
        <f t="shared" si="100"/>
        <v>241.83065463961458</v>
      </c>
      <c r="AA82" s="24">
        <f t="shared" si="100"/>
        <v>246.66726773240688</v>
      </c>
      <c r="AB82" s="24">
        <f t="shared" si="100"/>
        <v>251.60061308705502</v>
      </c>
      <c r="AC82" s="24">
        <f t="shared" si="100"/>
        <v>256.63262534879613</v>
      </c>
      <c r="AD82" s="24">
        <f t="shared" si="100"/>
        <v>261.76527785577207</v>
      </c>
      <c r="AE82" s="24">
        <f t="shared" si="100"/>
        <v>267.00058341288752</v>
      </c>
      <c r="AF82" s="24">
        <f t="shared" si="100"/>
        <v>272.3405950811453</v>
      </c>
      <c r="AG82" s="24">
        <f t="shared" si="100"/>
        <v>277.78740698276823</v>
      </c>
      <c r="AH82" s="24">
        <f t="shared" si="100"/>
        <v>283.34315512242358</v>
      </c>
    </row>
    <row r="83" spans="1:34" ht="11.25" customHeight="1" x14ac:dyDescent="0.2">
      <c r="A83" s="23">
        <v>79</v>
      </c>
      <c r="B83" s="24">
        <v>97.2</v>
      </c>
      <c r="C83" s="24">
        <v>160.30000000000001</v>
      </c>
      <c r="D83" s="24">
        <v>196.75203912000003</v>
      </c>
      <c r="E83" s="24">
        <v>222.3</v>
      </c>
      <c r="F83" s="24">
        <v>255</v>
      </c>
      <c r="G83" s="24">
        <v>283.89999999999998</v>
      </c>
      <c r="H83" s="24">
        <f t="shared" ref="H83:AH83" si="101">G83*1.02</f>
        <v>289.57799999999997</v>
      </c>
      <c r="I83" s="24">
        <f t="shared" si="101"/>
        <v>295.36955999999998</v>
      </c>
      <c r="J83" s="24">
        <f t="shared" si="101"/>
        <v>301.27695119999998</v>
      </c>
      <c r="K83" s="24">
        <f t="shared" si="101"/>
        <v>307.302490224</v>
      </c>
      <c r="L83" s="24">
        <f t="shared" si="101"/>
        <v>313.44854002848001</v>
      </c>
      <c r="M83" s="24">
        <f t="shared" si="101"/>
        <v>319.71751082904962</v>
      </c>
      <c r="N83" s="24">
        <f t="shared" si="101"/>
        <v>326.11186104563063</v>
      </c>
      <c r="O83" s="24">
        <f t="shared" si="101"/>
        <v>332.63409826654328</v>
      </c>
      <c r="P83" s="24">
        <f t="shared" si="101"/>
        <v>339.28678023187416</v>
      </c>
      <c r="Q83" s="24">
        <f t="shared" si="101"/>
        <v>346.07251583651163</v>
      </c>
      <c r="R83" s="24">
        <f t="shared" si="101"/>
        <v>352.99396615324184</v>
      </c>
      <c r="S83" s="24">
        <f t="shared" si="101"/>
        <v>360.05384547630666</v>
      </c>
      <c r="T83" s="24">
        <f t="shared" si="101"/>
        <v>367.2549223858328</v>
      </c>
      <c r="U83" s="24">
        <f t="shared" si="101"/>
        <v>374.60002083354948</v>
      </c>
      <c r="V83" s="24">
        <f t="shared" si="101"/>
        <v>382.09202125022045</v>
      </c>
      <c r="W83" s="24">
        <f t="shared" si="101"/>
        <v>389.73386167522489</v>
      </c>
      <c r="X83" s="24">
        <f t="shared" si="101"/>
        <v>397.52853890872939</v>
      </c>
      <c r="Y83" s="24">
        <f t="shared" si="101"/>
        <v>405.479109686904</v>
      </c>
      <c r="Z83" s="24">
        <f t="shared" si="101"/>
        <v>413.5886918806421</v>
      </c>
      <c r="AA83" s="24">
        <f t="shared" si="101"/>
        <v>421.86046571825494</v>
      </c>
      <c r="AB83" s="24">
        <f t="shared" si="101"/>
        <v>430.29767503262008</v>
      </c>
      <c r="AC83" s="24">
        <f t="shared" si="101"/>
        <v>438.90362853327247</v>
      </c>
      <c r="AD83" s="24">
        <f t="shared" si="101"/>
        <v>447.68170110393794</v>
      </c>
      <c r="AE83" s="24">
        <f t="shared" si="101"/>
        <v>456.63533512601668</v>
      </c>
      <c r="AF83" s="24">
        <f t="shared" si="101"/>
        <v>465.76804182853704</v>
      </c>
      <c r="AG83" s="24">
        <f t="shared" si="101"/>
        <v>475.08340266510777</v>
      </c>
      <c r="AH83" s="24">
        <f t="shared" si="101"/>
        <v>484.58507071840995</v>
      </c>
    </row>
    <row r="84" spans="1:34" ht="11.25" customHeight="1" x14ac:dyDescent="0.2">
      <c r="A84" s="23">
        <v>80</v>
      </c>
      <c r="B84" s="24">
        <v>85.2</v>
      </c>
      <c r="C84" s="24">
        <v>134.29</v>
      </c>
      <c r="D84" s="24">
        <v>160.11499999999998</v>
      </c>
      <c r="E84" s="24">
        <v>198</v>
      </c>
      <c r="F84" s="24">
        <v>227.5</v>
      </c>
      <c r="G84" s="24">
        <v>255</v>
      </c>
      <c r="H84" s="24">
        <f t="shared" ref="H84:AH84" si="102">G84*1.02</f>
        <v>260.10000000000002</v>
      </c>
      <c r="I84" s="24">
        <f t="shared" si="102"/>
        <v>265.30200000000002</v>
      </c>
      <c r="J84" s="24">
        <f t="shared" si="102"/>
        <v>270.60804000000002</v>
      </c>
      <c r="K84" s="24">
        <f t="shared" si="102"/>
        <v>276.0202008</v>
      </c>
      <c r="L84" s="24">
        <f t="shared" si="102"/>
        <v>281.54060481599998</v>
      </c>
      <c r="M84" s="24">
        <f t="shared" si="102"/>
        <v>287.17141691232001</v>
      </c>
      <c r="N84" s="24">
        <f t="shared" si="102"/>
        <v>292.91484525056643</v>
      </c>
      <c r="O84" s="24">
        <f t="shared" si="102"/>
        <v>298.77314215557777</v>
      </c>
      <c r="P84" s="24">
        <f t="shared" si="102"/>
        <v>304.74860499868936</v>
      </c>
      <c r="Q84" s="24">
        <f t="shared" si="102"/>
        <v>310.84357709866316</v>
      </c>
      <c r="R84" s="24">
        <f t="shared" si="102"/>
        <v>317.06044864063642</v>
      </c>
      <c r="S84" s="24">
        <f t="shared" si="102"/>
        <v>323.40165761344917</v>
      </c>
      <c r="T84" s="24">
        <f t="shared" si="102"/>
        <v>329.86969076571819</v>
      </c>
      <c r="U84" s="24">
        <f t="shared" si="102"/>
        <v>336.46708458103257</v>
      </c>
      <c r="V84" s="24">
        <f t="shared" si="102"/>
        <v>343.19642627265324</v>
      </c>
      <c r="W84" s="24">
        <f t="shared" si="102"/>
        <v>350.06035479810629</v>
      </c>
      <c r="X84" s="24">
        <f t="shared" si="102"/>
        <v>357.0615618940684</v>
      </c>
      <c r="Y84" s="24">
        <f t="shared" si="102"/>
        <v>364.20279313194976</v>
      </c>
      <c r="Z84" s="24">
        <f t="shared" si="102"/>
        <v>371.48684899458874</v>
      </c>
      <c r="AA84" s="24">
        <f t="shared" si="102"/>
        <v>378.91658597448054</v>
      </c>
      <c r="AB84" s="24">
        <f t="shared" si="102"/>
        <v>386.49491769397014</v>
      </c>
      <c r="AC84" s="24">
        <f t="shared" si="102"/>
        <v>394.22481604784957</v>
      </c>
      <c r="AD84" s="24">
        <f t="shared" si="102"/>
        <v>402.10931236880657</v>
      </c>
      <c r="AE84" s="24">
        <f t="shared" si="102"/>
        <v>410.15149861618272</v>
      </c>
      <c r="AF84" s="24">
        <f t="shared" si="102"/>
        <v>418.35452858850635</v>
      </c>
      <c r="AG84" s="24">
        <f t="shared" si="102"/>
        <v>426.72161916027648</v>
      </c>
      <c r="AH84" s="24">
        <f t="shared" si="102"/>
        <v>435.25605154348199</v>
      </c>
    </row>
    <row r="85" spans="1:34" ht="11.25" customHeight="1" x14ac:dyDescent="0.2">
      <c r="A85" s="23">
        <v>81</v>
      </c>
      <c r="B85" s="24">
        <v>110</v>
      </c>
      <c r="C85" s="24">
        <v>155</v>
      </c>
      <c r="D85" s="24">
        <v>241.6253112</v>
      </c>
      <c r="E85" s="24">
        <v>279.59500295999999</v>
      </c>
      <c r="F85" s="24">
        <v>331.7</v>
      </c>
      <c r="G85" s="24">
        <v>369.3</v>
      </c>
      <c r="H85" s="24">
        <f t="shared" ref="H85:AH85" si="103">G85*1.02</f>
        <v>376.68600000000004</v>
      </c>
      <c r="I85" s="24">
        <f t="shared" si="103"/>
        <v>384.21972000000005</v>
      </c>
      <c r="J85" s="24">
        <f t="shared" si="103"/>
        <v>391.90411440000008</v>
      </c>
      <c r="K85" s="24">
        <f t="shared" si="103"/>
        <v>399.74219668800009</v>
      </c>
      <c r="L85" s="24">
        <f t="shared" si="103"/>
        <v>407.73704062176012</v>
      </c>
      <c r="M85" s="24">
        <f t="shared" si="103"/>
        <v>415.89178143419531</v>
      </c>
      <c r="N85" s="24">
        <f t="shared" si="103"/>
        <v>424.2096170628792</v>
      </c>
      <c r="O85" s="24">
        <f t="shared" si="103"/>
        <v>432.6938094041368</v>
      </c>
      <c r="P85" s="24">
        <f t="shared" si="103"/>
        <v>441.34768559221953</v>
      </c>
      <c r="Q85" s="24">
        <f t="shared" si="103"/>
        <v>450.17463930406393</v>
      </c>
      <c r="R85" s="24">
        <f t="shared" si="103"/>
        <v>459.1781320901452</v>
      </c>
      <c r="S85" s="24">
        <f t="shared" si="103"/>
        <v>468.36169473194809</v>
      </c>
      <c r="T85" s="24">
        <f t="shared" si="103"/>
        <v>477.72892862658705</v>
      </c>
      <c r="U85" s="24">
        <f t="shared" si="103"/>
        <v>487.28350719911879</v>
      </c>
      <c r="V85" s="24">
        <f t="shared" si="103"/>
        <v>497.0291773431012</v>
      </c>
      <c r="W85" s="24">
        <f t="shared" si="103"/>
        <v>506.96976088996325</v>
      </c>
      <c r="X85" s="24">
        <f t="shared" si="103"/>
        <v>517.10915610776249</v>
      </c>
      <c r="Y85" s="24">
        <f t="shared" si="103"/>
        <v>527.45133922991772</v>
      </c>
      <c r="Z85" s="24">
        <f t="shared" si="103"/>
        <v>538.00036601451609</v>
      </c>
      <c r="AA85" s="24">
        <f t="shared" si="103"/>
        <v>548.76037333480645</v>
      </c>
      <c r="AB85" s="24">
        <f t="shared" si="103"/>
        <v>559.73558080150258</v>
      </c>
      <c r="AC85" s="24">
        <f t="shared" si="103"/>
        <v>570.93029241753266</v>
      </c>
      <c r="AD85" s="24">
        <f t="shared" si="103"/>
        <v>582.34889826588335</v>
      </c>
      <c r="AE85" s="24">
        <f t="shared" si="103"/>
        <v>593.99587623120101</v>
      </c>
      <c r="AF85" s="24">
        <f t="shared" si="103"/>
        <v>605.87579375582504</v>
      </c>
      <c r="AG85" s="24">
        <f t="shared" si="103"/>
        <v>617.99330963094155</v>
      </c>
      <c r="AH85" s="24">
        <f t="shared" si="103"/>
        <v>630.35317582356038</v>
      </c>
    </row>
    <row r="86" spans="1:34" ht="11.25" customHeight="1" x14ac:dyDescent="0.2">
      <c r="A86" s="23">
        <v>82</v>
      </c>
      <c r="B86" s="24">
        <v>105.5</v>
      </c>
      <c r="C86" s="24">
        <v>177.9</v>
      </c>
      <c r="D86" s="24">
        <v>227.8</v>
      </c>
      <c r="E86" s="24">
        <v>254.8</v>
      </c>
      <c r="F86" s="24">
        <v>295.3</v>
      </c>
      <c r="G86" s="24">
        <v>329</v>
      </c>
      <c r="H86" s="24">
        <f t="shared" ref="H86:AH86" si="104">G86*1.02</f>
        <v>335.58</v>
      </c>
      <c r="I86" s="24">
        <f t="shared" si="104"/>
        <v>342.29160000000002</v>
      </c>
      <c r="J86" s="24">
        <f t="shared" si="104"/>
        <v>349.13743200000005</v>
      </c>
      <c r="K86" s="24">
        <f t="shared" si="104"/>
        <v>356.12018064000006</v>
      </c>
      <c r="L86" s="24">
        <f t="shared" si="104"/>
        <v>363.24258425280004</v>
      </c>
      <c r="M86" s="24">
        <f t="shared" si="104"/>
        <v>370.50743593785603</v>
      </c>
      <c r="N86" s="24">
        <f t="shared" si="104"/>
        <v>377.91758465661314</v>
      </c>
      <c r="O86" s="24">
        <f t="shared" si="104"/>
        <v>385.47593634974544</v>
      </c>
      <c r="P86" s="24">
        <f t="shared" si="104"/>
        <v>393.18545507674037</v>
      </c>
      <c r="Q86" s="24">
        <f t="shared" si="104"/>
        <v>401.04916417827519</v>
      </c>
      <c r="R86" s="24">
        <f t="shared" si="104"/>
        <v>409.07014746184069</v>
      </c>
      <c r="S86" s="24">
        <f t="shared" si="104"/>
        <v>417.25155041107752</v>
      </c>
      <c r="T86" s="24">
        <f t="shared" si="104"/>
        <v>425.59658141929907</v>
      </c>
      <c r="U86" s="24">
        <f t="shared" si="104"/>
        <v>434.10851304768505</v>
      </c>
      <c r="V86" s="24">
        <f t="shared" si="104"/>
        <v>442.79068330863873</v>
      </c>
      <c r="W86" s="24">
        <f t="shared" si="104"/>
        <v>451.6464969748115</v>
      </c>
      <c r="X86" s="24">
        <f t="shared" si="104"/>
        <v>460.67942691430773</v>
      </c>
      <c r="Y86" s="24">
        <f t="shared" si="104"/>
        <v>469.89301545259389</v>
      </c>
      <c r="Z86" s="24">
        <f t="shared" si="104"/>
        <v>479.29087576164579</v>
      </c>
      <c r="AA86" s="24">
        <f t="shared" si="104"/>
        <v>488.87669327687871</v>
      </c>
      <c r="AB86" s="24">
        <f t="shared" si="104"/>
        <v>498.65422714241629</v>
      </c>
      <c r="AC86" s="24">
        <f t="shared" si="104"/>
        <v>508.6273116852646</v>
      </c>
      <c r="AD86" s="24">
        <f t="shared" si="104"/>
        <v>518.79985791896991</v>
      </c>
      <c r="AE86" s="24">
        <f t="shared" si="104"/>
        <v>529.1758550773493</v>
      </c>
      <c r="AF86" s="24">
        <f t="shared" si="104"/>
        <v>539.75937217889634</v>
      </c>
      <c r="AG86" s="24">
        <f t="shared" si="104"/>
        <v>550.55455962247424</v>
      </c>
      <c r="AH86" s="24">
        <f t="shared" si="104"/>
        <v>561.56565081492374</v>
      </c>
    </row>
    <row r="87" spans="1:34" ht="11.25" customHeight="1" x14ac:dyDescent="0.2">
      <c r="A87" s="23">
        <v>83</v>
      </c>
      <c r="B87" s="24">
        <v>132</v>
      </c>
      <c r="C87" s="24">
        <v>179</v>
      </c>
      <c r="D87" s="24">
        <v>240</v>
      </c>
      <c r="E87" s="24">
        <v>286</v>
      </c>
      <c r="F87" s="24">
        <v>347</v>
      </c>
      <c r="G87" s="24">
        <v>454.9</v>
      </c>
      <c r="H87" s="24">
        <f t="shared" ref="H87:AH87" si="105">G87*1.02</f>
        <v>463.99799999999999</v>
      </c>
      <c r="I87" s="24">
        <f t="shared" si="105"/>
        <v>473.27796000000001</v>
      </c>
      <c r="J87" s="24">
        <f t="shared" si="105"/>
        <v>482.74351920000004</v>
      </c>
      <c r="K87" s="24">
        <f t="shared" si="105"/>
        <v>492.39838958400003</v>
      </c>
      <c r="L87" s="24">
        <f t="shared" si="105"/>
        <v>502.24635737568002</v>
      </c>
      <c r="M87" s="24">
        <f t="shared" si="105"/>
        <v>512.29128452319367</v>
      </c>
      <c r="N87" s="24">
        <f t="shared" si="105"/>
        <v>522.53711021365757</v>
      </c>
      <c r="O87" s="24">
        <f t="shared" si="105"/>
        <v>532.98785241793075</v>
      </c>
      <c r="P87" s="24">
        <f t="shared" si="105"/>
        <v>543.6476094662894</v>
      </c>
      <c r="Q87" s="24">
        <f t="shared" si="105"/>
        <v>554.52056165561521</v>
      </c>
      <c r="R87" s="24">
        <f t="shared" si="105"/>
        <v>565.61097288872747</v>
      </c>
      <c r="S87" s="24">
        <f t="shared" si="105"/>
        <v>576.92319234650199</v>
      </c>
      <c r="T87" s="24">
        <f t="shared" si="105"/>
        <v>588.46165619343208</v>
      </c>
      <c r="U87" s="24">
        <f t="shared" si="105"/>
        <v>600.23088931730069</v>
      </c>
      <c r="V87" s="24">
        <f t="shared" si="105"/>
        <v>612.23550710364668</v>
      </c>
      <c r="W87" s="24">
        <f t="shared" si="105"/>
        <v>624.48021724571959</v>
      </c>
      <c r="X87" s="24">
        <f t="shared" si="105"/>
        <v>636.96982159063396</v>
      </c>
      <c r="Y87" s="24">
        <f t="shared" si="105"/>
        <v>649.70921802244663</v>
      </c>
      <c r="Z87" s="24">
        <f t="shared" si="105"/>
        <v>662.70340238289555</v>
      </c>
      <c r="AA87" s="24">
        <f t="shared" si="105"/>
        <v>675.95747043055349</v>
      </c>
      <c r="AB87" s="24">
        <f t="shared" si="105"/>
        <v>689.47661983916453</v>
      </c>
      <c r="AC87" s="24">
        <f t="shared" si="105"/>
        <v>703.26615223594786</v>
      </c>
      <c r="AD87" s="24">
        <f t="shared" si="105"/>
        <v>717.33147528066684</v>
      </c>
      <c r="AE87" s="24">
        <f t="shared" si="105"/>
        <v>731.67810478628019</v>
      </c>
      <c r="AF87" s="24">
        <f t="shared" si="105"/>
        <v>746.31166688200585</v>
      </c>
      <c r="AG87" s="24">
        <f t="shared" si="105"/>
        <v>761.23790021964601</v>
      </c>
      <c r="AH87" s="24">
        <f t="shared" si="105"/>
        <v>776.46265822403893</v>
      </c>
    </row>
    <row r="88" spans="1:34" ht="11.25" customHeight="1" x14ac:dyDescent="0.2">
      <c r="A88" s="23">
        <v>84</v>
      </c>
      <c r="B88" s="24">
        <v>138.4</v>
      </c>
      <c r="C88" s="24">
        <v>209</v>
      </c>
      <c r="D88" s="24">
        <v>276</v>
      </c>
      <c r="E88" s="24">
        <v>321.39999999999998</v>
      </c>
      <c r="F88" s="24">
        <v>374.1</v>
      </c>
      <c r="G88" s="24">
        <v>417.4</v>
      </c>
      <c r="H88" s="24">
        <f t="shared" ref="H88:AH88" si="106">G88*1.02</f>
        <v>425.74799999999999</v>
      </c>
      <c r="I88" s="24">
        <f t="shared" si="106"/>
        <v>434.26296000000002</v>
      </c>
      <c r="J88" s="24">
        <f t="shared" si="106"/>
        <v>442.94821920000004</v>
      </c>
      <c r="K88" s="24">
        <f t="shared" si="106"/>
        <v>451.80718358400003</v>
      </c>
      <c r="L88" s="24">
        <f t="shared" si="106"/>
        <v>460.84332725568004</v>
      </c>
      <c r="M88" s="24">
        <f t="shared" si="106"/>
        <v>470.06019380079363</v>
      </c>
      <c r="N88" s="24">
        <f t="shared" si="106"/>
        <v>479.4613976768095</v>
      </c>
      <c r="O88" s="24">
        <f t="shared" si="106"/>
        <v>489.05062563034568</v>
      </c>
      <c r="P88" s="24">
        <f t="shared" si="106"/>
        <v>498.83163814295261</v>
      </c>
      <c r="Q88" s="24">
        <f t="shared" si="106"/>
        <v>508.8082709058117</v>
      </c>
      <c r="R88" s="24">
        <f t="shared" si="106"/>
        <v>518.98443632392798</v>
      </c>
      <c r="S88" s="24">
        <f t="shared" si="106"/>
        <v>529.36412505040653</v>
      </c>
      <c r="T88" s="24">
        <f t="shared" si="106"/>
        <v>539.95140755141472</v>
      </c>
      <c r="U88" s="24">
        <f t="shared" si="106"/>
        <v>550.75043570244304</v>
      </c>
      <c r="V88" s="24">
        <f t="shared" si="106"/>
        <v>561.76544441649196</v>
      </c>
      <c r="W88" s="24">
        <f t="shared" si="106"/>
        <v>573.00075330482184</v>
      </c>
      <c r="X88" s="24">
        <f t="shared" si="106"/>
        <v>584.46076837091834</v>
      </c>
      <c r="Y88" s="24">
        <f t="shared" si="106"/>
        <v>596.14998373833669</v>
      </c>
      <c r="Z88" s="24">
        <f t="shared" si="106"/>
        <v>608.07298341310343</v>
      </c>
      <c r="AA88" s="24">
        <f t="shared" si="106"/>
        <v>620.2344430813655</v>
      </c>
      <c r="AB88" s="24">
        <f t="shared" si="106"/>
        <v>632.63913194299278</v>
      </c>
      <c r="AC88" s="24">
        <f t="shared" si="106"/>
        <v>645.29191458185267</v>
      </c>
      <c r="AD88" s="24">
        <f t="shared" si="106"/>
        <v>658.19775287348978</v>
      </c>
      <c r="AE88" s="24">
        <f t="shared" si="106"/>
        <v>671.3617079309596</v>
      </c>
      <c r="AF88" s="24">
        <f t="shared" si="106"/>
        <v>684.78894208957877</v>
      </c>
      <c r="AG88" s="24">
        <f t="shared" si="106"/>
        <v>698.48472093137036</v>
      </c>
      <c r="AH88" s="24">
        <f t="shared" si="106"/>
        <v>712.45441534999782</v>
      </c>
    </row>
    <row r="89" spans="1:34" ht="11.25" customHeight="1" x14ac:dyDescent="0.2">
      <c r="A89" s="23">
        <v>85</v>
      </c>
      <c r="B89" s="24">
        <v>88.5</v>
      </c>
      <c r="C89" s="24">
        <v>147.19999999999999</v>
      </c>
      <c r="D89" s="24">
        <v>185</v>
      </c>
      <c r="E89" s="24">
        <v>207.8</v>
      </c>
      <c r="F89" s="24">
        <v>239.3</v>
      </c>
      <c r="G89" s="24">
        <v>267</v>
      </c>
      <c r="H89" s="24">
        <f t="shared" ref="H89:AH89" si="107">G89*1.02</f>
        <v>272.34000000000003</v>
      </c>
      <c r="I89" s="24">
        <f t="shared" si="107"/>
        <v>277.78680000000003</v>
      </c>
      <c r="J89" s="24">
        <f t="shared" si="107"/>
        <v>283.34253600000005</v>
      </c>
      <c r="K89" s="24">
        <f t="shared" si="107"/>
        <v>289.00938672000007</v>
      </c>
      <c r="L89" s="24">
        <f t="shared" si="107"/>
        <v>294.78957445440005</v>
      </c>
      <c r="M89" s="24">
        <f t="shared" si="107"/>
        <v>300.68536594348808</v>
      </c>
      <c r="N89" s="24">
        <f t="shared" si="107"/>
        <v>306.69907326235784</v>
      </c>
      <c r="O89" s="24">
        <f t="shared" si="107"/>
        <v>312.83305472760503</v>
      </c>
      <c r="P89" s="24">
        <f t="shared" si="107"/>
        <v>319.08971582215713</v>
      </c>
      <c r="Q89" s="24">
        <f t="shared" si="107"/>
        <v>325.47151013860025</v>
      </c>
      <c r="R89" s="24">
        <f t="shared" si="107"/>
        <v>331.98094034137227</v>
      </c>
      <c r="S89" s="24">
        <f t="shared" si="107"/>
        <v>338.62055914819973</v>
      </c>
      <c r="T89" s="24">
        <f t="shared" si="107"/>
        <v>345.39297033116372</v>
      </c>
      <c r="U89" s="24">
        <f t="shared" si="107"/>
        <v>352.30082973778701</v>
      </c>
      <c r="V89" s="24">
        <f t="shared" si="107"/>
        <v>359.34684633254278</v>
      </c>
      <c r="W89" s="24">
        <f t="shared" si="107"/>
        <v>366.53378325919363</v>
      </c>
      <c r="X89" s="24">
        <f t="shared" si="107"/>
        <v>373.86445892437752</v>
      </c>
      <c r="Y89" s="24">
        <f t="shared" si="107"/>
        <v>381.3417481028651</v>
      </c>
      <c r="Z89" s="24">
        <f t="shared" si="107"/>
        <v>388.96858306492243</v>
      </c>
      <c r="AA89" s="24">
        <f t="shared" si="107"/>
        <v>396.74795472622088</v>
      </c>
      <c r="AB89" s="24">
        <f t="shared" si="107"/>
        <v>404.68291382074528</v>
      </c>
      <c r="AC89" s="24">
        <f t="shared" si="107"/>
        <v>412.77657209716017</v>
      </c>
      <c r="AD89" s="24">
        <f t="shared" si="107"/>
        <v>421.03210353910339</v>
      </c>
      <c r="AE89" s="24">
        <f t="shared" si="107"/>
        <v>429.45274560988548</v>
      </c>
      <c r="AF89" s="24">
        <f t="shared" si="107"/>
        <v>438.04180052208318</v>
      </c>
      <c r="AG89" s="24">
        <f t="shared" si="107"/>
        <v>446.80263653252484</v>
      </c>
      <c r="AH89" s="24">
        <f t="shared" si="107"/>
        <v>455.73868926317533</v>
      </c>
    </row>
    <row r="90" spans="1:34" ht="11.25" customHeight="1" x14ac:dyDescent="0.2">
      <c r="A90" s="23">
        <v>86</v>
      </c>
      <c r="B90" s="24">
        <v>81.5</v>
      </c>
      <c r="C90" s="24">
        <v>134.5</v>
      </c>
      <c r="D90" s="24">
        <v>167.3</v>
      </c>
      <c r="E90" s="24">
        <v>188.4</v>
      </c>
      <c r="F90" s="24">
        <v>216.2</v>
      </c>
      <c r="G90" s="24">
        <v>241.4</v>
      </c>
      <c r="H90" s="24">
        <f t="shared" ref="H90:AH90" si="108">G90*1.02</f>
        <v>246.22800000000001</v>
      </c>
      <c r="I90" s="24">
        <f t="shared" si="108"/>
        <v>251.15256000000002</v>
      </c>
      <c r="J90" s="24">
        <f t="shared" si="108"/>
        <v>256.17561120000005</v>
      </c>
      <c r="K90" s="24">
        <f t="shared" si="108"/>
        <v>261.29912342400007</v>
      </c>
      <c r="L90" s="24">
        <f t="shared" si="108"/>
        <v>266.5251058924801</v>
      </c>
      <c r="M90" s="24">
        <f t="shared" si="108"/>
        <v>271.85560801032972</v>
      </c>
      <c r="N90" s="24">
        <f t="shared" si="108"/>
        <v>277.29272017053631</v>
      </c>
      <c r="O90" s="24">
        <f t="shared" si="108"/>
        <v>282.83857457394703</v>
      </c>
      <c r="P90" s="24">
        <f t="shared" si="108"/>
        <v>288.49534606542596</v>
      </c>
      <c r="Q90" s="24">
        <f t="shared" si="108"/>
        <v>294.26525298673448</v>
      </c>
      <c r="R90" s="24">
        <f t="shared" si="108"/>
        <v>300.1505580464692</v>
      </c>
      <c r="S90" s="24">
        <f t="shared" si="108"/>
        <v>306.15356920739856</v>
      </c>
      <c r="T90" s="24">
        <f t="shared" si="108"/>
        <v>312.27664059154654</v>
      </c>
      <c r="U90" s="24">
        <f t="shared" si="108"/>
        <v>318.52217340337745</v>
      </c>
      <c r="V90" s="24">
        <f t="shared" si="108"/>
        <v>324.892616871445</v>
      </c>
      <c r="W90" s="24">
        <f t="shared" si="108"/>
        <v>331.39046920887392</v>
      </c>
      <c r="X90" s="24">
        <f t="shared" si="108"/>
        <v>338.01827859305143</v>
      </c>
      <c r="Y90" s="24">
        <f t="shared" si="108"/>
        <v>344.77864416491246</v>
      </c>
      <c r="Z90" s="24">
        <f t="shared" si="108"/>
        <v>351.67421704821072</v>
      </c>
      <c r="AA90" s="24">
        <f t="shared" si="108"/>
        <v>358.70770138917493</v>
      </c>
      <c r="AB90" s="24">
        <f t="shared" si="108"/>
        <v>365.88185541695844</v>
      </c>
      <c r="AC90" s="24">
        <f t="shared" si="108"/>
        <v>373.19949252529761</v>
      </c>
      <c r="AD90" s="24">
        <f t="shared" si="108"/>
        <v>380.6634823758036</v>
      </c>
      <c r="AE90" s="24">
        <f t="shared" si="108"/>
        <v>388.27675202331966</v>
      </c>
      <c r="AF90" s="24">
        <f t="shared" si="108"/>
        <v>396.04228706378603</v>
      </c>
      <c r="AG90" s="24">
        <f t="shared" si="108"/>
        <v>403.96313280506178</v>
      </c>
      <c r="AH90" s="24">
        <f t="shared" si="108"/>
        <v>412.04239546116304</v>
      </c>
    </row>
    <row r="91" spans="1:34" ht="11.25" customHeight="1" x14ac:dyDescent="0.2">
      <c r="A91" s="23">
        <v>87</v>
      </c>
      <c r="B91" s="24">
        <v>95.7</v>
      </c>
      <c r="C91" s="24">
        <v>140</v>
      </c>
      <c r="D91" s="24">
        <v>181</v>
      </c>
      <c r="E91" s="24">
        <v>226</v>
      </c>
      <c r="F91" s="24">
        <v>253</v>
      </c>
      <c r="G91" s="24">
        <v>293.2</v>
      </c>
      <c r="H91" s="24">
        <f t="shared" ref="H91:AH91" si="109">G91*1.02</f>
        <v>299.06400000000002</v>
      </c>
      <c r="I91" s="24">
        <f t="shared" si="109"/>
        <v>305.04528000000005</v>
      </c>
      <c r="J91" s="24">
        <f t="shared" si="109"/>
        <v>311.14618560000008</v>
      </c>
      <c r="K91" s="24">
        <f t="shared" si="109"/>
        <v>317.36910931200009</v>
      </c>
      <c r="L91" s="24">
        <f t="shared" si="109"/>
        <v>323.71649149824009</v>
      </c>
      <c r="M91" s="24">
        <f t="shared" si="109"/>
        <v>330.19082132820489</v>
      </c>
      <c r="N91" s="24">
        <f t="shared" si="109"/>
        <v>336.79463775476898</v>
      </c>
      <c r="O91" s="24">
        <f t="shared" si="109"/>
        <v>343.53053050986438</v>
      </c>
      <c r="P91" s="24">
        <f t="shared" si="109"/>
        <v>350.40114112006165</v>
      </c>
      <c r="Q91" s="24">
        <f t="shared" si="109"/>
        <v>357.4091639424629</v>
      </c>
      <c r="R91" s="24">
        <f t="shared" si="109"/>
        <v>364.55734722131217</v>
      </c>
      <c r="S91" s="24">
        <f t="shared" si="109"/>
        <v>371.84849416573843</v>
      </c>
      <c r="T91" s="24">
        <f t="shared" si="109"/>
        <v>379.28546404905319</v>
      </c>
      <c r="U91" s="24">
        <f t="shared" si="109"/>
        <v>386.87117333003425</v>
      </c>
      <c r="V91" s="24">
        <f t="shared" si="109"/>
        <v>394.60859679663497</v>
      </c>
      <c r="W91" s="24">
        <f t="shared" si="109"/>
        <v>402.50076873256768</v>
      </c>
      <c r="X91" s="24">
        <f t="shared" si="109"/>
        <v>410.55078410721904</v>
      </c>
      <c r="Y91" s="24">
        <f t="shared" si="109"/>
        <v>418.76179978936341</v>
      </c>
      <c r="Z91" s="24">
        <f t="shared" si="109"/>
        <v>427.13703578515066</v>
      </c>
      <c r="AA91" s="24">
        <f t="shared" si="109"/>
        <v>435.67977650085368</v>
      </c>
      <c r="AB91" s="24">
        <f t="shared" si="109"/>
        <v>444.39337203087075</v>
      </c>
      <c r="AC91" s="24">
        <f t="shared" si="109"/>
        <v>453.28123947148816</v>
      </c>
      <c r="AD91" s="24">
        <f t="shared" si="109"/>
        <v>462.34686426091793</v>
      </c>
      <c r="AE91" s="24">
        <f t="shared" si="109"/>
        <v>471.59380154613632</v>
      </c>
      <c r="AF91" s="24">
        <f t="shared" si="109"/>
        <v>481.02567757705907</v>
      </c>
      <c r="AG91" s="24">
        <f t="shared" si="109"/>
        <v>490.64619112860026</v>
      </c>
      <c r="AH91" s="24">
        <f t="shared" si="109"/>
        <v>500.4591149511723</v>
      </c>
    </row>
    <row r="92" spans="1:34" ht="11.25" customHeight="1" x14ac:dyDescent="0.2">
      <c r="A92" s="23">
        <v>88</v>
      </c>
      <c r="B92" s="24">
        <v>101.2</v>
      </c>
      <c r="C92" s="24">
        <v>141.00449999999998</v>
      </c>
      <c r="D92" s="24">
        <v>182.22119999999998</v>
      </c>
      <c r="E92" s="24">
        <v>232.05539449541283</v>
      </c>
      <c r="F92" s="24">
        <v>285.60000000000002</v>
      </c>
      <c r="G92" s="24">
        <v>319.60000000000002</v>
      </c>
      <c r="H92" s="24">
        <f t="shared" ref="H92:AH92" si="110">G92*1.02</f>
        <v>325.99200000000002</v>
      </c>
      <c r="I92" s="24">
        <f t="shared" si="110"/>
        <v>332.51184000000001</v>
      </c>
      <c r="J92" s="24">
        <f t="shared" si="110"/>
        <v>339.16207680000002</v>
      </c>
      <c r="K92" s="24">
        <f t="shared" si="110"/>
        <v>345.94531833600001</v>
      </c>
      <c r="L92" s="24">
        <f t="shared" si="110"/>
        <v>352.86422470272004</v>
      </c>
      <c r="M92" s="24">
        <f t="shared" si="110"/>
        <v>359.92150919677442</v>
      </c>
      <c r="N92" s="24">
        <f t="shared" si="110"/>
        <v>367.11993938070992</v>
      </c>
      <c r="O92" s="24">
        <f t="shared" si="110"/>
        <v>374.46233816832415</v>
      </c>
      <c r="P92" s="24">
        <f t="shared" si="110"/>
        <v>381.95158493169066</v>
      </c>
      <c r="Q92" s="24">
        <f t="shared" si="110"/>
        <v>389.59061663032446</v>
      </c>
      <c r="R92" s="24">
        <f t="shared" si="110"/>
        <v>397.38242896293093</v>
      </c>
      <c r="S92" s="24">
        <f t="shared" si="110"/>
        <v>405.33007754218954</v>
      </c>
      <c r="T92" s="24">
        <f t="shared" si="110"/>
        <v>413.43667909303332</v>
      </c>
      <c r="U92" s="24">
        <f t="shared" si="110"/>
        <v>421.70541267489398</v>
      </c>
      <c r="V92" s="24">
        <f t="shared" si="110"/>
        <v>430.13952092839185</v>
      </c>
      <c r="W92" s="24">
        <f t="shared" si="110"/>
        <v>438.7423113469597</v>
      </c>
      <c r="X92" s="24">
        <f t="shared" si="110"/>
        <v>447.51715757389888</v>
      </c>
      <c r="Y92" s="24">
        <f t="shared" si="110"/>
        <v>456.46750072537685</v>
      </c>
      <c r="Z92" s="24">
        <f t="shared" si="110"/>
        <v>465.59685073988442</v>
      </c>
      <c r="AA92" s="24">
        <f t="shared" si="110"/>
        <v>474.90878775468212</v>
      </c>
      <c r="AB92" s="24">
        <f t="shared" si="110"/>
        <v>484.40696350977578</v>
      </c>
      <c r="AC92" s="24">
        <f t="shared" si="110"/>
        <v>494.09510277997128</v>
      </c>
      <c r="AD92" s="24">
        <f t="shared" si="110"/>
        <v>503.97700483557071</v>
      </c>
      <c r="AE92" s="24">
        <f t="shared" si="110"/>
        <v>514.05654493228212</v>
      </c>
      <c r="AF92" s="24">
        <f t="shared" si="110"/>
        <v>524.33767583092776</v>
      </c>
      <c r="AG92" s="24">
        <f t="shared" si="110"/>
        <v>534.82442934754636</v>
      </c>
      <c r="AH92" s="24">
        <f t="shared" si="110"/>
        <v>545.52091793449733</v>
      </c>
    </row>
    <row r="93" spans="1:34" ht="11.25" customHeight="1" x14ac:dyDescent="0.2">
      <c r="A93" s="23">
        <v>89</v>
      </c>
      <c r="B93" s="24">
        <v>80.7</v>
      </c>
      <c r="C93" s="24">
        <v>119.3115</v>
      </c>
      <c r="D93" s="24">
        <v>157.27424999999999</v>
      </c>
      <c r="E93" s="24">
        <v>186.2</v>
      </c>
      <c r="F93" s="24">
        <v>213.5</v>
      </c>
      <c r="G93" s="24">
        <v>238.5</v>
      </c>
      <c r="H93" s="24">
        <f t="shared" ref="H93:AH93" si="111">G93*1.02</f>
        <v>243.27</v>
      </c>
      <c r="I93" s="24">
        <f t="shared" si="111"/>
        <v>248.1354</v>
      </c>
      <c r="J93" s="24">
        <f t="shared" si="111"/>
        <v>253.098108</v>
      </c>
      <c r="K93" s="24">
        <f t="shared" si="111"/>
        <v>258.16007015999998</v>
      </c>
      <c r="L93" s="24">
        <f t="shared" si="111"/>
        <v>263.32327156319997</v>
      </c>
      <c r="M93" s="24">
        <f t="shared" si="111"/>
        <v>268.58973699446398</v>
      </c>
      <c r="N93" s="24">
        <f t="shared" si="111"/>
        <v>273.96153173435329</v>
      </c>
      <c r="O93" s="24">
        <f t="shared" si="111"/>
        <v>279.44076236904039</v>
      </c>
      <c r="P93" s="24">
        <f t="shared" si="111"/>
        <v>285.02957761642119</v>
      </c>
      <c r="Q93" s="24">
        <f t="shared" si="111"/>
        <v>290.73016916874963</v>
      </c>
      <c r="R93" s="24">
        <f t="shared" si="111"/>
        <v>296.54477255212464</v>
      </c>
      <c r="S93" s="24">
        <f t="shared" si="111"/>
        <v>302.47566800316713</v>
      </c>
      <c r="T93" s="24">
        <f t="shared" si="111"/>
        <v>308.5251813632305</v>
      </c>
      <c r="U93" s="24">
        <f t="shared" si="111"/>
        <v>314.69568499049512</v>
      </c>
      <c r="V93" s="24">
        <f t="shared" si="111"/>
        <v>320.98959869030506</v>
      </c>
      <c r="W93" s="24">
        <f t="shared" si="111"/>
        <v>327.40939066411119</v>
      </c>
      <c r="X93" s="24">
        <f t="shared" si="111"/>
        <v>333.95757847739344</v>
      </c>
      <c r="Y93" s="24">
        <f t="shared" si="111"/>
        <v>340.6367300469413</v>
      </c>
      <c r="Z93" s="24">
        <f t="shared" si="111"/>
        <v>347.44946464788012</v>
      </c>
      <c r="AA93" s="24">
        <f t="shared" si="111"/>
        <v>354.39845394083773</v>
      </c>
      <c r="AB93" s="24">
        <f t="shared" si="111"/>
        <v>361.48642301965447</v>
      </c>
      <c r="AC93" s="24">
        <f t="shared" si="111"/>
        <v>368.71615148004759</v>
      </c>
      <c r="AD93" s="24">
        <f t="shared" si="111"/>
        <v>376.09047450964852</v>
      </c>
      <c r="AE93" s="24">
        <f t="shared" si="111"/>
        <v>383.61228399984151</v>
      </c>
      <c r="AF93" s="24">
        <f t="shared" si="111"/>
        <v>391.28452967983833</v>
      </c>
      <c r="AG93" s="24">
        <f t="shared" si="111"/>
        <v>399.11022027343512</v>
      </c>
      <c r="AH93" s="24">
        <f t="shared" si="111"/>
        <v>407.09242467890385</v>
      </c>
    </row>
    <row r="94" spans="1:34" x14ac:dyDescent="0.2">
      <c r="A94" s="23">
        <v>90</v>
      </c>
      <c r="B94" s="24">
        <v>113.88824999999999</v>
      </c>
      <c r="C94" s="24">
        <v>149.68170000000001</v>
      </c>
      <c r="D94" s="24">
        <v>184.39049999999997</v>
      </c>
      <c r="E94" s="24">
        <v>232.05539449541283</v>
      </c>
      <c r="F94" s="24">
        <v>285</v>
      </c>
      <c r="G94" s="24">
        <v>358.8</v>
      </c>
      <c r="H94" s="24">
        <f t="shared" ref="H94:AH94" si="112">G94*1.02</f>
        <v>365.976</v>
      </c>
      <c r="I94" s="24">
        <f t="shared" si="112"/>
        <v>373.29552000000001</v>
      </c>
      <c r="J94" s="24">
        <f t="shared" si="112"/>
        <v>380.76143039999999</v>
      </c>
      <c r="K94" s="24">
        <f t="shared" si="112"/>
        <v>388.37665900799999</v>
      </c>
      <c r="L94" s="24">
        <f t="shared" si="112"/>
        <v>396.14419218815999</v>
      </c>
      <c r="M94" s="24">
        <f t="shared" si="112"/>
        <v>404.06707603192319</v>
      </c>
      <c r="N94" s="24">
        <f t="shared" si="112"/>
        <v>412.14841755256168</v>
      </c>
      <c r="O94" s="24">
        <f t="shared" si="112"/>
        <v>420.3913859036129</v>
      </c>
      <c r="P94" s="24">
        <f t="shared" si="112"/>
        <v>428.79921362168517</v>
      </c>
      <c r="Q94" s="24">
        <f t="shared" si="112"/>
        <v>437.37519789411886</v>
      </c>
      <c r="R94" s="24">
        <f t="shared" si="112"/>
        <v>446.12270185200123</v>
      </c>
      <c r="S94" s="24">
        <f t="shared" si="112"/>
        <v>455.04515588904127</v>
      </c>
      <c r="T94" s="24">
        <f t="shared" si="112"/>
        <v>464.1460590068221</v>
      </c>
      <c r="U94" s="24">
        <f t="shared" si="112"/>
        <v>473.42898018695854</v>
      </c>
      <c r="V94" s="24">
        <f t="shared" si="112"/>
        <v>482.8975597906977</v>
      </c>
      <c r="W94" s="24">
        <f t="shared" si="112"/>
        <v>492.55551098651165</v>
      </c>
      <c r="X94" s="24">
        <f t="shared" si="112"/>
        <v>502.40662120624188</v>
      </c>
      <c r="Y94" s="24">
        <f t="shared" si="112"/>
        <v>512.45475363036678</v>
      </c>
      <c r="Z94" s="24">
        <f t="shared" si="112"/>
        <v>522.70384870297414</v>
      </c>
      <c r="AA94" s="24">
        <f t="shared" si="112"/>
        <v>533.15792567703363</v>
      </c>
      <c r="AB94" s="24">
        <f t="shared" si="112"/>
        <v>543.82108419057431</v>
      </c>
      <c r="AC94" s="24">
        <f t="shared" si="112"/>
        <v>554.6975058743858</v>
      </c>
      <c r="AD94" s="24">
        <f t="shared" si="112"/>
        <v>565.79145599187348</v>
      </c>
      <c r="AE94" s="24">
        <f t="shared" si="112"/>
        <v>577.10728511171101</v>
      </c>
      <c r="AF94" s="24">
        <f t="shared" si="112"/>
        <v>588.64943081394529</v>
      </c>
      <c r="AG94" s="24">
        <f t="shared" si="112"/>
        <v>600.42241943022418</v>
      </c>
      <c r="AH94" s="24">
        <f t="shared" si="112"/>
        <v>612.43086781882869</v>
      </c>
    </row>
    <row r="95" spans="1:34" x14ac:dyDescent="0.2">
      <c r="A95" s="29">
        <v>91</v>
      </c>
      <c r="B95" s="24">
        <v>82.5</v>
      </c>
      <c r="C95" s="24">
        <v>103.3</v>
      </c>
      <c r="D95" s="24">
        <v>113.63</v>
      </c>
      <c r="E95" s="24">
        <v>123.96</v>
      </c>
      <c r="F95" s="24">
        <v>134.29</v>
      </c>
      <c r="G95" s="24">
        <v>166</v>
      </c>
      <c r="H95" s="24">
        <f t="shared" ref="H95:AH95" si="113">G95*1.02</f>
        <v>169.32</v>
      </c>
      <c r="I95" s="24">
        <f t="shared" si="113"/>
        <v>172.7064</v>
      </c>
      <c r="J95" s="24">
        <f t="shared" si="113"/>
        <v>176.160528</v>
      </c>
      <c r="K95" s="24">
        <f t="shared" si="113"/>
        <v>179.68373855999999</v>
      </c>
      <c r="L95" s="24">
        <f t="shared" si="113"/>
        <v>183.27741333119999</v>
      </c>
      <c r="M95" s="24">
        <f t="shared" si="113"/>
        <v>186.942961597824</v>
      </c>
      <c r="N95" s="24">
        <f t="shared" si="113"/>
        <v>190.68182082978049</v>
      </c>
      <c r="O95" s="24">
        <f t="shared" si="113"/>
        <v>194.49545724637611</v>
      </c>
      <c r="P95" s="24">
        <f t="shared" si="113"/>
        <v>198.38536639130362</v>
      </c>
      <c r="Q95" s="24">
        <f t="shared" si="113"/>
        <v>202.3530737191297</v>
      </c>
      <c r="R95" s="24">
        <f t="shared" si="113"/>
        <v>206.40013519351228</v>
      </c>
      <c r="S95" s="24">
        <f t="shared" si="113"/>
        <v>210.52813789738252</v>
      </c>
      <c r="T95" s="24">
        <f t="shared" si="113"/>
        <v>214.73870065533018</v>
      </c>
      <c r="U95" s="24">
        <f t="shared" si="113"/>
        <v>219.03347466843678</v>
      </c>
      <c r="V95" s="24">
        <f t="shared" si="113"/>
        <v>223.41414416180552</v>
      </c>
      <c r="W95" s="24">
        <f t="shared" si="113"/>
        <v>227.88242704504165</v>
      </c>
      <c r="X95" s="24">
        <f t="shared" si="113"/>
        <v>232.44007558594248</v>
      </c>
      <c r="Y95" s="24">
        <f t="shared" si="113"/>
        <v>237.08887709766134</v>
      </c>
      <c r="Z95" s="24">
        <f t="shared" si="113"/>
        <v>241.83065463961458</v>
      </c>
      <c r="AA95" s="24">
        <f t="shared" si="113"/>
        <v>246.66726773240688</v>
      </c>
      <c r="AB95" s="24">
        <f t="shared" si="113"/>
        <v>251.60061308705502</v>
      </c>
      <c r="AC95" s="24">
        <f t="shared" si="113"/>
        <v>256.63262534879613</v>
      </c>
      <c r="AD95" s="24">
        <f t="shared" si="113"/>
        <v>261.76527785577207</v>
      </c>
      <c r="AE95" s="24">
        <f t="shared" si="113"/>
        <v>267.00058341288752</v>
      </c>
      <c r="AF95" s="24">
        <f t="shared" si="113"/>
        <v>272.3405950811453</v>
      </c>
      <c r="AG95" s="24">
        <f t="shared" si="113"/>
        <v>277.78740698276823</v>
      </c>
      <c r="AH95" s="24">
        <f t="shared" si="113"/>
        <v>283.34315512242358</v>
      </c>
    </row>
    <row r="96" spans="1:34" x14ac:dyDescent="0.2">
      <c r="A96" s="29">
        <v>92</v>
      </c>
      <c r="B96" s="24">
        <v>82.5</v>
      </c>
      <c r="C96" s="24">
        <v>103.3</v>
      </c>
      <c r="D96" s="24">
        <v>113.63</v>
      </c>
      <c r="E96" s="24">
        <v>123.96</v>
      </c>
      <c r="F96" s="24">
        <v>134.29</v>
      </c>
      <c r="G96" s="24">
        <v>166</v>
      </c>
      <c r="H96" s="24">
        <f t="shared" ref="H96:AH96" si="114">G96*1.02</f>
        <v>169.32</v>
      </c>
      <c r="I96" s="24">
        <f t="shared" si="114"/>
        <v>172.7064</v>
      </c>
      <c r="J96" s="24">
        <f t="shared" si="114"/>
        <v>176.160528</v>
      </c>
      <c r="K96" s="24">
        <f t="shared" si="114"/>
        <v>179.68373855999999</v>
      </c>
      <c r="L96" s="24">
        <f t="shared" si="114"/>
        <v>183.27741333119999</v>
      </c>
      <c r="M96" s="24">
        <f t="shared" si="114"/>
        <v>186.942961597824</v>
      </c>
      <c r="N96" s="24">
        <f t="shared" si="114"/>
        <v>190.68182082978049</v>
      </c>
      <c r="O96" s="24">
        <f t="shared" si="114"/>
        <v>194.49545724637611</v>
      </c>
      <c r="P96" s="24">
        <f t="shared" si="114"/>
        <v>198.38536639130362</v>
      </c>
      <c r="Q96" s="24">
        <f t="shared" si="114"/>
        <v>202.3530737191297</v>
      </c>
      <c r="R96" s="24">
        <f t="shared" si="114"/>
        <v>206.40013519351228</v>
      </c>
      <c r="S96" s="24">
        <f t="shared" si="114"/>
        <v>210.52813789738252</v>
      </c>
      <c r="T96" s="24">
        <f t="shared" si="114"/>
        <v>214.73870065533018</v>
      </c>
      <c r="U96" s="24">
        <f t="shared" si="114"/>
        <v>219.03347466843678</v>
      </c>
      <c r="V96" s="24">
        <f t="shared" si="114"/>
        <v>223.41414416180552</v>
      </c>
      <c r="W96" s="24">
        <f t="shared" si="114"/>
        <v>227.88242704504165</v>
      </c>
      <c r="X96" s="24">
        <f t="shared" si="114"/>
        <v>232.44007558594248</v>
      </c>
      <c r="Y96" s="24">
        <f t="shared" si="114"/>
        <v>237.08887709766134</v>
      </c>
      <c r="Z96" s="24">
        <f t="shared" si="114"/>
        <v>241.83065463961458</v>
      </c>
      <c r="AA96" s="24">
        <f t="shared" si="114"/>
        <v>246.66726773240688</v>
      </c>
      <c r="AB96" s="24">
        <f t="shared" si="114"/>
        <v>251.60061308705502</v>
      </c>
      <c r="AC96" s="24">
        <f t="shared" si="114"/>
        <v>256.63262534879613</v>
      </c>
      <c r="AD96" s="24">
        <f t="shared" si="114"/>
        <v>261.76527785577207</v>
      </c>
      <c r="AE96" s="24">
        <f t="shared" si="114"/>
        <v>267.00058341288752</v>
      </c>
      <c r="AF96" s="24">
        <f t="shared" si="114"/>
        <v>272.3405950811453</v>
      </c>
      <c r="AG96" s="24">
        <f t="shared" si="114"/>
        <v>277.78740698276823</v>
      </c>
      <c r="AH96" s="24">
        <f t="shared" si="114"/>
        <v>283.34315512242358</v>
      </c>
    </row>
    <row r="97" spans="1:34" x14ac:dyDescent="0.2">
      <c r="A97" s="29">
        <v>93</v>
      </c>
      <c r="B97" s="24">
        <v>71.099999999999994</v>
      </c>
      <c r="C97" s="24">
        <v>95</v>
      </c>
      <c r="D97" s="24">
        <v>113.63</v>
      </c>
      <c r="E97" s="24">
        <v>123.96</v>
      </c>
      <c r="F97" s="24">
        <v>134.29</v>
      </c>
      <c r="G97" s="24">
        <v>166</v>
      </c>
      <c r="H97" s="24">
        <f t="shared" ref="H97:AH97" si="115">G97*1.02</f>
        <v>169.32</v>
      </c>
      <c r="I97" s="24">
        <f t="shared" si="115"/>
        <v>172.7064</v>
      </c>
      <c r="J97" s="24">
        <f t="shared" si="115"/>
        <v>176.160528</v>
      </c>
      <c r="K97" s="24">
        <f t="shared" si="115"/>
        <v>179.68373855999999</v>
      </c>
      <c r="L97" s="24">
        <f t="shared" si="115"/>
        <v>183.27741333119999</v>
      </c>
      <c r="M97" s="24">
        <f t="shared" si="115"/>
        <v>186.942961597824</v>
      </c>
      <c r="N97" s="24">
        <f t="shared" si="115"/>
        <v>190.68182082978049</v>
      </c>
      <c r="O97" s="24">
        <f t="shared" si="115"/>
        <v>194.49545724637611</v>
      </c>
      <c r="P97" s="24">
        <f t="shared" si="115"/>
        <v>198.38536639130362</v>
      </c>
      <c r="Q97" s="24">
        <f t="shared" si="115"/>
        <v>202.3530737191297</v>
      </c>
      <c r="R97" s="24">
        <f t="shared" si="115"/>
        <v>206.40013519351228</v>
      </c>
      <c r="S97" s="24">
        <f t="shared" si="115"/>
        <v>210.52813789738252</v>
      </c>
      <c r="T97" s="24">
        <f t="shared" si="115"/>
        <v>214.73870065533018</v>
      </c>
      <c r="U97" s="24">
        <f t="shared" si="115"/>
        <v>219.03347466843678</v>
      </c>
      <c r="V97" s="24">
        <f t="shared" si="115"/>
        <v>223.41414416180552</v>
      </c>
      <c r="W97" s="24">
        <f t="shared" si="115"/>
        <v>227.88242704504165</v>
      </c>
      <c r="X97" s="24">
        <f t="shared" si="115"/>
        <v>232.44007558594248</v>
      </c>
      <c r="Y97" s="24">
        <f t="shared" si="115"/>
        <v>237.08887709766134</v>
      </c>
      <c r="Z97" s="24">
        <f t="shared" si="115"/>
        <v>241.83065463961458</v>
      </c>
      <c r="AA97" s="24">
        <f t="shared" si="115"/>
        <v>246.66726773240688</v>
      </c>
      <c r="AB97" s="24">
        <f t="shared" si="115"/>
        <v>251.60061308705502</v>
      </c>
      <c r="AC97" s="24">
        <f t="shared" si="115"/>
        <v>256.63262534879613</v>
      </c>
      <c r="AD97" s="24">
        <f t="shared" si="115"/>
        <v>261.76527785577207</v>
      </c>
      <c r="AE97" s="24">
        <f t="shared" si="115"/>
        <v>267.00058341288752</v>
      </c>
      <c r="AF97" s="24">
        <f t="shared" si="115"/>
        <v>272.3405950811453</v>
      </c>
      <c r="AG97" s="24">
        <f t="shared" si="115"/>
        <v>277.78740698276823</v>
      </c>
      <c r="AH97" s="24">
        <f t="shared" si="115"/>
        <v>283.34315512242358</v>
      </c>
    </row>
    <row r="98" spans="1:34" x14ac:dyDescent="0.2">
      <c r="A98" s="29">
        <v>94</v>
      </c>
      <c r="B98" s="24">
        <v>82.5</v>
      </c>
      <c r="C98" s="24">
        <v>103.3</v>
      </c>
      <c r="D98" s="24">
        <v>113.63</v>
      </c>
      <c r="E98" s="24">
        <v>123.96</v>
      </c>
      <c r="F98" s="24">
        <v>134.29</v>
      </c>
      <c r="G98" s="24">
        <v>166</v>
      </c>
      <c r="H98" s="24">
        <f t="shared" ref="H98:AH98" si="116">G98*1.02</f>
        <v>169.32</v>
      </c>
      <c r="I98" s="24">
        <f t="shared" si="116"/>
        <v>172.7064</v>
      </c>
      <c r="J98" s="24">
        <f t="shared" si="116"/>
        <v>176.160528</v>
      </c>
      <c r="K98" s="24">
        <f t="shared" si="116"/>
        <v>179.68373855999999</v>
      </c>
      <c r="L98" s="24">
        <f t="shared" si="116"/>
        <v>183.27741333119999</v>
      </c>
      <c r="M98" s="24">
        <f t="shared" si="116"/>
        <v>186.942961597824</v>
      </c>
      <c r="N98" s="24">
        <f t="shared" si="116"/>
        <v>190.68182082978049</v>
      </c>
      <c r="O98" s="24">
        <f t="shared" si="116"/>
        <v>194.49545724637611</v>
      </c>
      <c r="P98" s="24">
        <f t="shared" si="116"/>
        <v>198.38536639130362</v>
      </c>
      <c r="Q98" s="24">
        <f t="shared" si="116"/>
        <v>202.3530737191297</v>
      </c>
      <c r="R98" s="24">
        <f t="shared" si="116"/>
        <v>206.40013519351228</v>
      </c>
      <c r="S98" s="24">
        <f t="shared" si="116"/>
        <v>210.52813789738252</v>
      </c>
      <c r="T98" s="24">
        <f t="shared" si="116"/>
        <v>214.73870065533018</v>
      </c>
      <c r="U98" s="24">
        <f t="shared" si="116"/>
        <v>219.03347466843678</v>
      </c>
      <c r="V98" s="24">
        <f t="shared" si="116"/>
        <v>223.41414416180552</v>
      </c>
      <c r="W98" s="24">
        <f t="shared" si="116"/>
        <v>227.88242704504165</v>
      </c>
      <c r="X98" s="24">
        <f t="shared" si="116"/>
        <v>232.44007558594248</v>
      </c>
      <c r="Y98" s="24">
        <f t="shared" si="116"/>
        <v>237.08887709766134</v>
      </c>
      <c r="Z98" s="24">
        <f t="shared" si="116"/>
        <v>241.83065463961458</v>
      </c>
      <c r="AA98" s="24">
        <f t="shared" si="116"/>
        <v>246.66726773240688</v>
      </c>
      <c r="AB98" s="24">
        <f t="shared" si="116"/>
        <v>251.60061308705502</v>
      </c>
      <c r="AC98" s="24">
        <f t="shared" si="116"/>
        <v>256.63262534879613</v>
      </c>
      <c r="AD98" s="24">
        <f t="shared" si="116"/>
        <v>261.76527785577207</v>
      </c>
      <c r="AE98" s="24">
        <f t="shared" si="116"/>
        <v>267.00058341288752</v>
      </c>
      <c r="AF98" s="24">
        <f t="shared" si="116"/>
        <v>272.3405950811453</v>
      </c>
      <c r="AG98" s="24">
        <f t="shared" si="116"/>
        <v>277.78740698276823</v>
      </c>
      <c r="AH98" s="24">
        <f t="shared" si="116"/>
        <v>283.34315512242358</v>
      </c>
    </row>
    <row r="99" spans="1:34" ht="15" customHeight="1" x14ac:dyDescent="0.2">
      <c r="A99" s="20">
        <v>95</v>
      </c>
      <c r="B99" s="24">
        <v>82.5</v>
      </c>
      <c r="C99" s="24">
        <v>103.3</v>
      </c>
      <c r="D99" s="24">
        <v>113.63</v>
      </c>
      <c r="E99" s="24">
        <v>123.96</v>
      </c>
      <c r="F99" s="24">
        <v>134.29</v>
      </c>
      <c r="G99" s="24">
        <v>166</v>
      </c>
      <c r="H99" s="24">
        <f t="shared" ref="H99:AH99" si="117">G99*1.02</f>
        <v>169.32</v>
      </c>
      <c r="I99" s="24">
        <f t="shared" si="117"/>
        <v>172.7064</v>
      </c>
      <c r="J99" s="24">
        <f t="shared" si="117"/>
        <v>176.160528</v>
      </c>
      <c r="K99" s="24">
        <f t="shared" si="117"/>
        <v>179.68373855999999</v>
      </c>
      <c r="L99" s="24">
        <f t="shared" si="117"/>
        <v>183.27741333119999</v>
      </c>
      <c r="M99" s="24">
        <f t="shared" si="117"/>
        <v>186.942961597824</v>
      </c>
      <c r="N99" s="24">
        <f t="shared" si="117"/>
        <v>190.68182082978049</v>
      </c>
      <c r="O99" s="24">
        <f t="shared" si="117"/>
        <v>194.49545724637611</v>
      </c>
      <c r="P99" s="24">
        <f t="shared" si="117"/>
        <v>198.38536639130362</v>
      </c>
      <c r="Q99" s="24">
        <f t="shared" si="117"/>
        <v>202.3530737191297</v>
      </c>
      <c r="R99" s="24">
        <f t="shared" si="117"/>
        <v>206.40013519351228</v>
      </c>
      <c r="S99" s="24">
        <f t="shared" si="117"/>
        <v>210.52813789738252</v>
      </c>
      <c r="T99" s="24">
        <f t="shared" si="117"/>
        <v>214.73870065533018</v>
      </c>
      <c r="U99" s="24">
        <f t="shared" si="117"/>
        <v>219.03347466843678</v>
      </c>
      <c r="V99" s="24">
        <f t="shared" si="117"/>
        <v>223.41414416180552</v>
      </c>
      <c r="W99" s="24">
        <f t="shared" si="117"/>
        <v>227.88242704504165</v>
      </c>
      <c r="X99" s="24">
        <f t="shared" si="117"/>
        <v>232.44007558594248</v>
      </c>
      <c r="Y99" s="24">
        <f t="shared" si="117"/>
        <v>237.08887709766134</v>
      </c>
      <c r="Z99" s="24">
        <f t="shared" si="117"/>
        <v>241.83065463961458</v>
      </c>
      <c r="AA99" s="24">
        <f t="shared" si="117"/>
        <v>246.66726773240688</v>
      </c>
      <c r="AB99" s="24">
        <f t="shared" si="117"/>
        <v>251.60061308705502</v>
      </c>
      <c r="AC99" s="24">
        <f t="shared" si="117"/>
        <v>256.63262534879613</v>
      </c>
      <c r="AD99" s="24">
        <f t="shared" si="117"/>
        <v>261.76527785577207</v>
      </c>
      <c r="AE99" s="24">
        <f t="shared" si="117"/>
        <v>267.00058341288752</v>
      </c>
      <c r="AF99" s="24">
        <f t="shared" si="117"/>
        <v>272.3405950811453</v>
      </c>
      <c r="AG99" s="24">
        <f t="shared" si="117"/>
        <v>277.78740698276823</v>
      </c>
      <c r="AH99" s="24">
        <f t="shared" si="117"/>
        <v>283.34315512242358</v>
      </c>
    </row>
    <row r="100" spans="1:34" ht="15" customHeight="1" x14ac:dyDescent="0.2"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30"/>
      <c r="AF100" s="30"/>
      <c r="AG100" s="30"/>
      <c r="AH100" s="30"/>
    </row>
    <row r="101" spans="1:34" ht="15" customHeight="1" x14ac:dyDescent="0.2">
      <c r="A101" s="31" t="s">
        <v>144</v>
      </c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</row>
    <row r="102" spans="1:34" ht="15" customHeight="1" x14ac:dyDescent="0.2">
      <c r="A102" s="31" t="s">
        <v>145</v>
      </c>
      <c r="B102" s="31"/>
      <c r="C102" s="31"/>
      <c r="D102" s="31"/>
      <c r="E102" s="31"/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</row>
    <row r="103" spans="1:34" ht="15" customHeight="1" x14ac:dyDescent="0.2">
      <c r="A103" s="31" t="s">
        <v>146</v>
      </c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</row>
    <row r="104" spans="1:34" ht="15" customHeight="1" x14ac:dyDescent="0.2">
      <c r="A104" s="31" t="s">
        <v>147</v>
      </c>
      <c r="B104" s="31"/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</row>
    <row r="105" spans="1:34" ht="15" customHeight="1" x14ac:dyDescent="0.2">
      <c r="A105" s="31" t="s">
        <v>148</v>
      </c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</row>
    <row r="106" spans="1:34" ht="8.25" customHeight="1" x14ac:dyDescent="0.2">
      <c r="A106" s="31" t="s">
        <v>149</v>
      </c>
      <c r="B106" s="31"/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3" tint="0.59999389629810485"/>
  </sheetPr>
  <dimension ref="A1:AI22"/>
  <sheetViews>
    <sheetView workbookViewId="0">
      <selection activeCell="B5" sqref="B5:B22"/>
    </sheetView>
  </sheetViews>
  <sheetFormatPr baseColWidth="10" defaultRowHeight="12.75" x14ac:dyDescent="0.2"/>
  <cols>
    <col min="1" max="1" width="17.85546875" customWidth="1"/>
  </cols>
  <sheetData>
    <row r="1" spans="1:35" ht="18" x14ac:dyDescent="0.25">
      <c r="A1" s="1" t="s">
        <v>151</v>
      </c>
    </row>
    <row r="2" spans="1:35" x14ac:dyDescent="0.2">
      <c r="A2" s="2" t="s">
        <v>0</v>
      </c>
      <c r="B2" s="33" t="s">
        <v>99</v>
      </c>
      <c r="C2" s="34" t="s">
        <v>100</v>
      </c>
      <c r="D2" s="34" t="s">
        <v>101</v>
      </c>
      <c r="E2" s="34" t="s">
        <v>102</v>
      </c>
      <c r="F2" s="34" t="s">
        <v>103</v>
      </c>
      <c r="G2" s="34" t="s">
        <v>104</v>
      </c>
      <c r="H2" s="34" t="s">
        <v>105</v>
      </c>
      <c r="I2" s="34" t="s">
        <v>106</v>
      </c>
      <c r="J2" s="34" t="s">
        <v>107</v>
      </c>
      <c r="K2" s="34" t="s">
        <v>108</v>
      </c>
      <c r="L2" s="34" t="s">
        <v>109</v>
      </c>
      <c r="M2" s="34" t="s">
        <v>110</v>
      </c>
      <c r="N2" s="34" t="s">
        <v>111</v>
      </c>
      <c r="O2" s="34" t="s">
        <v>112</v>
      </c>
      <c r="P2" s="34" t="s">
        <v>113</v>
      </c>
      <c r="Q2" s="34" t="s">
        <v>114</v>
      </c>
      <c r="R2" s="34" t="s">
        <v>115</v>
      </c>
      <c r="S2" s="34" t="s">
        <v>116</v>
      </c>
      <c r="T2" s="34" t="s">
        <v>117</v>
      </c>
      <c r="U2" s="34" t="s">
        <v>118</v>
      </c>
      <c r="V2" s="34" t="s">
        <v>119</v>
      </c>
      <c r="W2" s="34" t="s">
        <v>120</v>
      </c>
      <c r="X2" s="34" t="s">
        <v>121</v>
      </c>
      <c r="Y2" s="34" t="s">
        <v>122</v>
      </c>
      <c r="Z2" s="34" t="s">
        <v>123</v>
      </c>
      <c r="AA2" s="34" t="s">
        <v>124</v>
      </c>
      <c r="AB2" s="34" t="s">
        <v>125</v>
      </c>
      <c r="AC2" s="34" t="s">
        <v>126</v>
      </c>
      <c r="AD2" s="34" t="s">
        <v>127</v>
      </c>
      <c r="AE2" s="34" t="s">
        <v>128</v>
      </c>
      <c r="AF2" s="34" t="s">
        <v>129</v>
      </c>
      <c r="AG2" s="34" t="s">
        <v>130</v>
      </c>
      <c r="AH2" s="34" t="s">
        <v>131</v>
      </c>
      <c r="AI2" s="35" t="s">
        <v>132</v>
      </c>
    </row>
    <row r="3" spans="1:35" x14ac:dyDescent="0.2">
      <c r="A3" s="3"/>
      <c r="B3" s="34" t="s">
        <v>133</v>
      </c>
      <c r="C3" s="34">
        <v>0.4</v>
      </c>
      <c r="D3" s="34">
        <v>0.8</v>
      </c>
      <c r="E3" s="34">
        <v>1.2</v>
      </c>
      <c r="F3" s="34">
        <v>1.6</v>
      </c>
      <c r="G3" s="34">
        <v>2</v>
      </c>
      <c r="H3" s="34">
        <v>2.4</v>
      </c>
      <c r="I3" s="34">
        <v>2.8</v>
      </c>
      <c r="J3" s="34">
        <v>3.2</v>
      </c>
      <c r="K3" s="34">
        <v>3.6</v>
      </c>
      <c r="L3" s="34">
        <v>4</v>
      </c>
      <c r="M3" s="34">
        <v>4.4000000000000004</v>
      </c>
      <c r="N3" s="34">
        <v>4.8</v>
      </c>
      <c r="O3" s="34">
        <v>5.2</v>
      </c>
      <c r="P3" s="34">
        <v>5.6</v>
      </c>
      <c r="Q3" s="34">
        <v>6</v>
      </c>
      <c r="R3" s="34">
        <v>6.4</v>
      </c>
      <c r="S3" s="34">
        <v>6.8</v>
      </c>
      <c r="T3" s="34">
        <v>7.2</v>
      </c>
      <c r="U3" s="34">
        <v>7.6</v>
      </c>
      <c r="V3" s="34">
        <v>8</v>
      </c>
      <c r="W3" s="34">
        <v>8.4</v>
      </c>
      <c r="X3" s="34">
        <v>8.8000000000000007</v>
      </c>
      <c r="Y3" s="34">
        <v>9.1999999999999993</v>
      </c>
      <c r="Z3" s="34">
        <v>9.6</v>
      </c>
      <c r="AA3" s="34">
        <v>10</v>
      </c>
      <c r="AB3" s="34">
        <v>10.4</v>
      </c>
      <c r="AC3" s="34">
        <v>10.8</v>
      </c>
      <c r="AD3" s="34">
        <v>11.2</v>
      </c>
      <c r="AE3" s="34">
        <v>11.6</v>
      </c>
      <c r="AF3" s="34">
        <v>12</v>
      </c>
      <c r="AG3" s="34">
        <v>12.4</v>
      </c>
      <c r="AH3" s="34">
        <v>12.8</v>
      </c>
      <c r="AI3" s="35">
        <v>13.4</v>
      </c>
    </row>
    <row r="4" spans="1:35" x14ac:dyDescent="0.2">
      <c r="A4" s="3" t="s">
        <v>189</v>
      </c>
      <c r="B4" s="65" t="s">
        <v>188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5"/>
    </row>
    <row r="5" spans="1:35" x14ac:dyDescent="0.2">
      <c r="A5" s="9">
        <v>30</v>
      </c>
      <c r="B5" s="66">
        <v>250</v>
      </c>
      <c r="C5" s="36">
        <v>0.55000000000000004</v>
      </c>
      <c r="D5" s="36">
        <v>0.65</v>
      </c>
      <c r="E5" s="36">
        <v>0.67</v>
      </c>
      <c r="F5" s="36">
        <v>0.71</v>
      </c>
      <c r="G5" s="36">
        <v>0.72</v>
      </c>
      <c r="H5" s="36">
        <v>0.73</v>
      </c>
      <c r="I5" s="36">
        <v>0.74</v>
      </c>
      <c r="J5" s="36">
        <v>0.75</v>
      </c>
      <c r="K5" s="36">
        <v>0.76</v>
      </c>
      <c r="L5" s="36">
        <v>0.77</v>
      </c>
      <c r="M5" s="36">
        <v>0.78</v>
      </c>
      <c r="N5" s="36">
        <v>0.8</v>
      </c>
      <c r="O5" s="36">
        <v>0.8</v>
      </c>
      <c r="P5" s="36">
        <v>0.81</v>
      </c>
      <c r="Q5" s="36">
        <v>0.82</v>
      </c>
      <c r="R5" s="36">
        <v>0.83</v>
      </c>
      <c r="S5" s="36">
        <v>0.84</v>
      </c>
      <c r="T5" s="36">
        <v>0.85</v>
      </c>
      <c r="U5" s="36">
        <v>0.86</v>
      </c>
      <c r="V5" s="36">
        <v>0.87</v>
      </c>
      <c r="W5" s="36">
        <v>0.88</v>
      </c>
      <c r="X5" s="36">
        <v>0.89</v>
      </c>
      <c r="Y5" s="36">
        <v>0.9</v>
      </c>
      <c r="Z5" s="36">
        <v>0.91</v>
      </c>
      <c r="AA5" s="36">
        <v>0.92</v>
      </c>
      <c r="AB5" s="36">
        <v>0.93</v>
      </c>
      <c r="AC5" s="36">
        <v>0.94</v>
      </c>
      <c r="AD5" s="36">
        <v>0.95</v>
      </c>
      <c r="AE5" s="36">
        <v>0.96</v>
      </c>
      <c r="AF5" s="36">
        <v>1</v>
      </c>
      <c r="AG5" s="36">
        <v>1</v>
      </c>
      <c r="AH5" s="8">
        <v>1</v>
      </c>
      <c r="AI5" s="8">
        <v>1</v>
      </c>
    </row>
    <row r="6" spans="1:35" x14ac:dyDescent="0.2">
      <c r="A6" s="9">
        <v>40</v>
      </c>
      <c r="B6" s="66">
        <v>260</v>
      </c>
      <c r="C6" s="36">
        <v>0.55000000000000004</v>
      </c>
      <c r="D6" s="36">
        <v>0.65</v>
      </c>
      <c r="E6" s="36">
        <v>0.67</v>
      </c>
      <c r="F6" s="36">
        <v>0.71</v>
      </c>
      <c r="G6" s="36">
        <v>0.72</v>
      </c>
      <c r="H6" s="36">
        <v>0.73</v>
      </c>
      <c r="I6" s="36">
        <v>0.74</v>
      </c>
      <c r="J6" s="36">
        <v>0.75</v>
      </c>
      <c r="K6" s="36">
        <v>0.76</v>
      </c>
      <c r="L6" s="36">
        <v>0.77</v>
      </c>
      <c r="M6" s="36">
        <v>0.78</v>
      </c>
      <c r="N6" s="36">
        <v>0.8</v>
      </c>
      <c r="O6" s="36">
        <v>0.8</v>
      </c>
      <c r="P6" s="36">
        <v>0.81</v>
      </c>
      <c r="Q6" s="36">
        <v>0.82</v>
      </c>
      <c r="R6" s="36">
        <v>0.83</v>
      </c>
      <c r="S6" s="36">
        <v>0.84</v>
      </c>
      <c r="T6" s="36">
        <v>0.85</v>
      </c>
      <c r="U6" s="36">
        <v>0.86</v>
      </c>
      <c r="V6" s="36">
        <v>0.87</v>
      </c>
      <c r="W6" s="36">
        <v>0.88</v>
      </c>
      <c r="X6" s="36">
        <v>0.89</v>
      </c>
      <c r="Y6" s="36">
        <v>0.9</v>
      </c>
      <c r="Z6" s="36">
        <v>0.91</v>
      </c>
      <c r="AA6" s="36">
        <v>0.92</v>
      </c>
      <c r="AB6" s="36">
        <v>0.93</v>
      </c>
      <c r="AC6" s="36">
        <v>0.94</v>
      </c>
      <c r="AD6" s="36">
        <v>0.95</v>
      </c>
      <c r="AE6" s="36">
        <v>0.96</v>
      </c>
      <c r="AF6" s="36">
        <v>1</v>
      </c>
      <c r="AG6" s="36">
        <v>1</v>
      </c>
      <c r="AH6" s="8">
        <v>1</v>
      </c>
      <c r="AI6" s="8">
        <v>1</v>
      </c>
    </row>
    <row r="7" spans="1:35" x14ac:dyDescent="0.2">
      <c r="A7" s="9">
        <v>50</v>
      </c>
      <c r="B7" s="66">
        <v>270</v>
      </c>
      <c r="C7" s="36">
        <v>0.55000000000000004</v>
      </c>
      <c r="D7" s="36">
        <v>0.65</v>
      </c>
      <c r="E7" s="36">
        <v>0.67</v>
      </c>
      <c r="F7" s="36">
        <v>0.71</v>
      </c>
      <c r="G7" s="36">
        <v>0.72</v>
      </c>
      <c r="H7" s="36">
        <v>0.73</v>
      </c>
      <c r="I7" s="36">
        <v>0.74</v>
      </c>
      <c r="J7" s="36">
        <v>0.75</v>
      </c>
      <c r="K7" s="36">
        <v>0.76</v>
      </c>
      <c r="L7" s="36">
        <v>0.77</v>
      </c>
      <c r="M7" s="36">
        <v>0.78</v>
      </c>
      <c r="N7" s="36">
        <v>0.8</v>
      </c>
      <c r="O7" s="36">
        <v>0.8</v>
      </c>
      <c r="P7" s="36">
        <v>0.81</v>
      </c>
      <c r="Q7" s="36">
        <v>0.82</v>
      </c>
      <c r="R7" s="36">
        <v>0.83</v>
      </c>
      <c r="S7" s="36">
        <v>0.84</v>
      </c>
      <c r="T7" s="36">
        <v>0.85</v>
      </c>
      <c r="U7" s="36">
        <v>0.86</v>
      </c>
      <c r="V7" s="36">
        <v>0.87</v>
      </c>
      <c r="W7" s="36">
        <v>0.88</v>
      </c>
      <c r="X7" s="36">
        <v>0.89</v>
      </c>
      <c r="Y7" s="36">
        <v>0.9</v>
      </c>
      <c r="Z7" s="36">
        <v>0.91</v>
      </c>
      <c r="AA7" s="36">
        <v>0.92</v>
      </c>
      <c r="AB7" s="36">
        <v>0.93</v>
      </c>
      <c r="AC7" s="36">
        <v>0.94</v>
      </c>
      <c r="AD7" s="36">
        <v>0.95</v>
      </c>
      <c r="AE7" s="36">
        <v>0.96</v>
      </c>
      <c r="AF7" s="36">
        <v>1</v>
      </c>
      <c r="AG7" s="36">
        <v>1</v>
      </c>
      <c r="AH7" s="8">
        <v>1</v>
      </c>
      <c r="AI7" s="8">
        <v>1</v>
      </c>
    </row>
    <row r="8" spans="1:35" x14ac:dyDescent="0.2">
      <c r="A8" s="9">
        <v>60</v>
      </c>
      <c r="B8" s="66">
        <v>280</v>
      </c>
      <c r="C8" s="36">
        <v>0.55000000000000004</v>
      </c>
      <c r="D8" s="36">
        <v>0.6</v>
      </c>
      <c r="E8" s="36">
        <v>0.6</v>
      </c>
      <c r="F8" s="36">
        <v>0.67</v>
      </c>
      <c r="G8" s="36">
        <v>0.64</v>
      </c>
      <c r="H8" s="36">
        <v>0.7</v>
      </c>
      <c r="I8" s="36">
        <v>0.71</v>
      </c>
      <c r="J8" s="36">
        <v>0.7</v>
      </c>
      <c r="K8" s="36">
        <v>0.74</v>
      </c>
      <c r="L8" s="36">
        <v>0.75</v>
      </c>
      <c r="M8" s="36">
        <v>0.75</v>
      </c>
      <c r="N8" s="36">
        <v>0.77</v>
      </c>
      <c r="O8" s="36">
        <v>0.79</v>
      </c>
      <c r="P8" s="36">
        <v>0.81</v>
      </c>
      <c r="Q8" s="36">
        <v>0.82</v>
      </c>
      <c r="R8" s="36">
        <v>0.83</v>
      </c>
      <c r="S8" s="36">
        <v>0.84</v>
      </c>
      <c r="T8" s="36">
        <v>0.85</v>
      </c>
      <c r="U8" s="36">
        <v>0.86</v>
      </c>
      <c r="V8" s="36">
        <v>0.87</v>
      </c>
      <c r="W8" s="36">
        <v>0.88</v>
      </c>
      <c r="X8" s="36">
        <v>0.89</v>
      </c>
      <c r="Y8" s="36">
        <v>0.9</v>
      </c>
      <c r="Z8" s="36">
        <v>0.91</v>
      </c>
      <c r="AA8" s="36">
        <v>0.92</v>
      </c>
      <c r="AB8" s="36">
        <v>0.93</v>
      </c>
      <c r="AC8" s="36">
        <v>0.94</v>
      </c>
      <c r="AD8" s="36">
        <v>0.95</v>
      </c>
      <c r="AE8" s="36">
        <v>0.96</v>
      </c>
      <c r="AF8" s="36">
        <v>1</v>
      </c>
      <c r="AG8" s="36">
        <v>1</v>
      </c>
      <c r="AH8" s="8">
        <v>1</v>
      </c>
      <c r="AI8" s="8">
        <v>1</v>
      </c>
    </row>
    <row r="9" spans="1:35" x14ac:dyDescent="0.2">
      <c r="A9" s="9">
        <v>70</v>
      </c>
      <c r="B9" s="66">
        <v>290</v>
      </c>
      <c r="C9" s="36">
        <v>0.55000000000000004</v>
      </c>
      <c r="D9" s="36">
        <v>0.65</v>
      </c>
      <c r="E9" s="36">
        <v>0.67</v>
      </c>
      <c r="F9" s="36">
        <v>0.71</v>
      </c>
      <c r="G9" s="36">
        <v>0.72</v>
      </c>
      <c r="H9" s="36">
        <v>0.73</v>
      </c>
      <c r="I9" s="36">
        <v>0.74</v>
      </c>
      <c r="J9" s="36">
        <v>0.75</v>
      </c>
      <c r="K9" s="36">
        <v>0.76</v>
      </c>
      <c r="L9" s="36">
        <v>0.77</v>
      </c>
      <c r="M9" s="36">
        <v>0.78</v>
      </c>
      <c r="N9" s="36">
        <v>0.8</v>
      </c>
      <c r="O9" s="36">
        <v>0.8</v>
      </c>
      <c r="P9" s="36">
        <v>0.81</v>
      </c>
      <c r="Q9" s="36">
        <v>0.82</v>
      </c>
      <c r="R9" s="36">
        <v>0.83</v>
      </c>
      <c r="S9" s="36">
        <v>0.84</v>
      </c>
      <c r="T9" s="36">
        <v>0.85</v>
      </c>
      <c r="U9" s="36">
        <v>0.86</v>
      </c>
      <c r="V9" s="36">
        <v>0.87</v>
      </c>
      <c r="W9" s="36">
        <v>0.88</v>
      </c>
      <c r="X9" s="36">
        <v>0.89</v>
      </c>
      <c r="Y9" s="36">
        <v>0.9</v>
      </c>
      <c r="Z9" s="36">
        <v>0.91</v>
      </c>
      <c r="AA9" s="36">
        <v>0.92</v>
      </c>
      <c r="AB9" s="36">
        <v>0.93</v>
      </c>
      <c r="AC9" s="36">
        <v>0.94</v>
      </c>
      <c r="AD9" s="36">
        <v>0.95</v>
      </c>
      <c r="AE9" s="36">
        <v>0.96</v>
      </c>
      <c r="AF9" s="36">
        <v>1</v>
      </c>
      <c r="AG9" s="36">
        <v>1</v>
      </c>
      <c r="AH9" s="8">
        <v>1</v>
      </c>
      <c r="AI9" s="8">
        <v>1</v>
      </c>
    </row>
    <row r="10" spans="1:35" x14ac:dyDescent="0.2">
      <c r="A10" s="9">
        <v>80</v>
      </c>
      <c r="B10" s="66">
        <v>300</v>
      </c>
      <c r="C10" s="36">
        <v>0.55000000000000004</v>
      </c>
      <c r="D10" s="36">
        <v>0.65</v>
      </c>
      <c r="E10" s="36">
        <v>0.67</v>
      </c>
      <c r="F10" s="36">
        <v>0.71</v>
      </c>
      <c r="G10" s="36">
        <v>0.72</v>
      </c>
      <c r="H10" s="36">
        <v>0.73</v>
      </c>
      <c r="I10" s="36">
        <v>0.74</v>
      </c>
      <c r="J10" s="36">
        <v>0.75</v>
      </c>
      <c r="K10" s="36">
        <v>0.76</v>
      </c>
      <c r="L10" s="36">
        <v>0.77</v>
      </c>
      <c r="M10" s="36">
        <v>0.78</v>
      </c>
      <c r="N10" s="36">
        <v>0.8</v>
      </c>
      <c r="O10" s="36">
        <v>0.8</v>
      </c>
      <c r="P10" s="36">
        <v>0.81</v>
      </c>
      <c r="Q10" s="36">
        <v>0.82</v>
      </c>
      <c r="R10" s="36">
        <v>0.83</v>
      </c>
      <c r="S10" s="36">
        <v>0.84</v>
      </c>
      <c r="T10" s="36">
        <v>0.85</v>
      </c>
      <c r="U10" s="36">
        <v>0.86</v>
      </c>
      <c r="V10" s="36">
        <v>0.87</v>
      </c>
      <c r="W10" s="36">
        <v>0.88</v>
      </c>
      <c r="X10" s="36">
        <v>0.89</v>
      </c>
      <c r="Y10" s="36">
        <v>0.9</v>
      </c>
      <c r="Z10" s="36">
        <v>0.91</v>
      </c>
      <c r="AA10" s="36">
        <v>0.92</v>
      </c>
      <c r="AB10" s="36">
        <v>0.93</v>
      </c>
      <c r="AC10" s="36">
        <v>0.94</v>
      </c>
      <c r="AD10" s="36">
        <v>0.95</v>
      </c>
      <c r="AE10" s="36">
        <v>0.96</v>
      </c>
      <c r="AF10" s="36">
        <v>1</v>
      </c>
      <c r="AG10" s="36">
        <v>1</v>
      </c>
      <c r="AH10" s="8">
        <v>1</v>
      </c>
      <c r="AI10" s="8">
        <v>1</v>
      </c>
    </row>
    <row r="11" spans="1:35" x14ac:dyDescent="0.2">
      <c r="A11" s="9">
        <v>90</v>
      </c>
      <c r="B11" s="66">
        <v>310</v>
      </c>
      <c r="C11" s="36">
        <v>0.49</v>
      </c>
      <c r="D11" s="36">
        <v>0.55000000000000004</v>
      </c>
      <c r="E11" s="36">
        <v>0.54</v>
      </c>
      <c r="F11" s="36">
        <v>0.61</v>
      </c>
      <c r="G11" s="36">
        <v>0.56999999999999995</v>
      </c>
      <c r="H11" s="36">
        <v>0.62</v>
      </c>
      <c r="I11" s="36">
        <v>0.64</v>
      </c>
      <c r="J11" s="36">
        <v>0.64</v>
      </c>
      <c r="K11" s="36">
        <v>0.66</v>
      </c>
      <c r="L11" s="36">
        <v>0.67</v>
      </c>
      <c r="M11" s="36">
        <v>0.67</v>
      </c>
      <c r="N11" s="36">
        <v>0.69</v>
      </c>
      <c r="O11" s="36">
        <v>0.7</v>
      </c>
      <c r="P11" s="36">
        <v>0.72</v>
      </c>
      <c r="Q11" s="36">
        <v>0.74</v>
      </c>
      <c r="R11" s="36">
        <v>0.75</v>
      </c>
      <c r="S11" s="36">
        <v>0.78</v>
      </c>
      <c r="T11" s="36">
        <v>0.8</v>
      </c>
      <c r="U11" s="36">
        <v>0.81</v>
      </c>
      <c r="V11" s="36">
        <v>0.83</v>
      </c>
      <c r="W11" s="36">
        <v>0.86</v>
      </c>
      <c r="X11" s="36">
        <v>0.88</v>
      </c>
      <c r="Y11" s="36">
        <v>0.88</v>
      </c>
      <c r="Z11" s="36">
        <v>0.9</v>
      </c>
      <c r="AA11" s="36">
        <v>0.92</v>
      </c>
      <c r="AB11" s="36">
        <v>0.93</v>
      </c>
      <c r="AC11" s="36">
        <v>0.94</v>
      </c>
      <c r="AD11" s="36">
        <v>0.95</v>
      </c>
      <c r="AE11" s="36">
        <v>0.96</v>
      </c>
      <c r="AF11" s="36">
        <v>1</v>
      </c>
      <c r="AG11" s="36">
        <v>1</v>
      </c>
      <c r="AH11" s="8">
        <v>1</v>
      </c>
      <c r="AI11" s="8">
        <v>1</v>
      </c>
    </row>
    <row r="12" spans="1:35" x14ac:dyDescent="0.2">
      <c r="A12" s="9">
        <v>100</v>
      </c>
      <c r="B12" s="66">
        <v>320</v>
      </c>
      <c r="C12" s="36">
        <v>0.49</v>
      </c>
      <c r="D12" s="36">
        <v>0.55000000000000004</v>
      </c>
      <c r="E12" s="36">
        <v>0.54</v>
      </c>
      <c r="F12" s="36">
        <v>0.61</v>
      </c>
      <c r="G12" s="36">
        <v>0.56999999999999995</v>
      </c>
      <c r="H12" s="36">
        <v>0.62</v>
      </c>
      <c r="I12" s="36">
        <v>0.64</v>
      </c>
      <c r="J12" s="36">
        <v>0.64</v>
      </c>
      <c r="K12" s="36">
        <v>0.66</v>
      </c>
      <c r="L12" s="36">
        <v>0.67</v>
      </c>
      <c r="M12" s="36">
        <v>0.67</v>
      </c>
      <c r="N12" s="36">
        <v>0.69</v>
      </c>
      <c r="O12" s="36">
        <v>0.7</v>
      </c>
      <c r="P12" s="36">
        <v>0.72</v>
      </c>
      <c r="Q12" s="36">
        <v>0.74</v>
      </c>
      <c r="R12" s="36">
        <v>0.75</v>
      </c>
      <c r="S12" s="36">
        <v>0.78</v>
      </c>
      <c r="T12" s="36">
        <v>0.8</v>
      </c>
      <c r="U12" s="36">
        <v>0.81</v>
      </c>
      <c r="V12" s="36">
        <v>0.83</v>
      </c>
      <c r="W12" s="36">
        <v>0.86</v>
      </c>
      <c r="X12" s="36">
        <v>0.88</v>
      </c>
      <c r="Y12" s="36">
        <v>0.88</v>
      </c>
      <c r="Z12" s="36">
        <v>0.9</v>
      </c>
      <c r="AA12" s="36">
        <v>0.92</v>
      </c>
      <c r="AB12" s="36">
        <v>0.93</v>
      </c>
      <c r="AC12" s="36">
        <v>0.94</v>
      </c>
      <c r="AD12" s="36">
        <v>0.95</v>
      </c>
      <c r="AE12" s="36">
        <v>0.96</v>
      </c>
      <c r="AF12" s="36">
        <v>1</v>
      </c>
      <c r="AG12" s="36">
        <v>1</v>
      </c>
      <c r="AH12" s="8">
        <v>1</v>
      </c>
      <c r="AI12" s="8">
        <v>1</v>
      </c>
    </row>
    <row r="13" spans="1:35" x14ac:dyDescent="0.2">
      <c r="A13" s="9">
        <v>110</v>
      </c>
      <c r="B13" s="66">
        <v>330</v>
      </c>
      <c r="C13" s="36">
        <v>0.49</v>
      </c>
      <c r="D13" s="36">
        <v>0.55000000000000004</v>
      </c>
      <c r="E13" s="36">
        <v>0.54</v>
      </c>
      <c r="F13" s="36">
        <v>0.61</v>
      </c>
      <c r="G13" s="36">
        <v>0.56999999999999995</v>
      </c>
      <c r="H13" s="36">
        <v>0.62</v>
      </c>
      <c r="I13" s="36">
        <v>0.64</v>
      </c>
      <c r="J13" s="36">
        <v>0.64</v>
      </c>
      <c r="K13" s="36">
        <v>0.66</v>
      </c>
      <c r="L13" s="36">
        <v>0.67</v>
      </c>
      <c r="M13" s="36">
        <v>0.67</v>
      </c>
      <c r="N13" s="36">
        <v>0.69</v>
      </c>
      <c r="O13" s="36">
        <v>0.7</v>
      </c>
      <c r="P13" s="36">
        <v>0.72</v>
      </c>
      <c r="Q13" s="36">
        <v>0.74</v>
      </c>
      <c r="R13" s="36">
        <v>0.75</v>
      </c>
      <c r="S13" s="36">
        <v>0.78</v>
      </c>
      <c r="T13" s="36">
        <v>0.8</v>
      </c>
      <c r="U13" s="36">
        <v>0.81</v>
      </c>
      <c r="V13" s="36">
        <v>0.83</v>
      </c>
      <c r="W13" s="36">
        <v>0.86</v>
      </c>
      <c r="X13" s="36">
        <v>0.88</v>
      </c>
      <c r="Y13" s="36">
        <v>0.88</v>
      </c>
      <c r="Z13" s="36">
        <v>0.9</v>
      </c>
      <c r="AA13" s="36">
        <v>0.92</v>
      </c>
      <c r="AB13" s="36">
        <v>0.93</v>
      </c>
      <c r="AC13" s="36">
        <v>0.94</v>
      </c>
      <c r="AD13" s="36">
        <v>0.95</v>
      </c>
      <c r="AE13" s="36">
        <v>0.96</v>
      </c>
      <c r="AF13" s="36">
        <v>1</v>
      </c>
      <c r="AG13" s="36">
        <v>1</v>
      </c>
      <c r="AH13" s="8">
        <v>1</v>
      </c>
      <c r="AI13" s="8">
        <v>1</v>
      </c>
    </row>
    <row r="14" spans="1:35" x14ac:dyDescent="0.2">
      <c r="A14" s="9">
        <v>120</v>
      </c>
      <c r="B14" s="66">
        <v>340</v>
      </c>
      <c r="C14" s="36">
        <v>0.46</v>
      </c>
      <c r="D14" s="36">
        <v>0.51</v>
      </c>
      <c r="E14" s="36">
        <v>0.51</v>
      </c>
      <c r="F14" s="36">
        <v>0.56999999999999995</v>
      </c>
      <c r="G14" s="36">
        <v>0.55000000000000004</v>
      </c>
      <c r="H14" s="36">
        <v>0.57999999999999996</v>
      </c>
      <c r="I14" s="36">
        <v>0.6</v>
      </c>
      <c r="J14" s="36">
        <v>0.6</v>
      </c>
      <c r="K14" s="36">
        <v>0.62</v>
      </c>
      <c r="L14" s="36">
        <v>0.63</v>
      </c>
      <c r="M14" s="36">
        <v>0.63</v>
      </c>
      <c r="N14" s="36">
        <v>0.64</v>
      </c>
      <c r="O14" s="36">
        <v>0.66</v>
      </c>
      <c r="P14" s="36">
        <v>0.67</v>
      </c>
      <c r="Q14" s="36">
        <v>0.69</v>
      </c>
      <c r="R14" s="36">
        <v>0.7</v>
      </c>
      <c r="S14" s="36">
        <v>0.73</v>
      </c>
      <c r="T14" s="36">
        <v>0.75</v>
      </c>
      <c r="U14" s="36">
        <v>0.76</v>
      </c>
      <c r="V14" s="36">
        <v>0.77</v>
      </c>
      <c r="W14" s="36">
        <v>0.8</v>
      </c>
      <c r="X14" s="36">
        <v>0.82</v>
      </c>
      <c r="Y14" s="36">
        <v>0.82</v>
      </c>
      <c r="Z14" s="36">
        <v>0.84</v>
      </c>
      <c r="AA14" s="36">
        <v>0.86</v>
      </c>
      <c r="AB14" s="36">
        <v>0.87</v>
      </c>
      <c r="AC14" s="36">
        <v>0.89</v>
      </c>
      <c r="AD14" s="36">
        <v>0.91</v>
      </c>
      <c r="AE14" s="36">
        <v>0.93</v>
      </c>
      <c r="AF14" s="36">
        <v>1</v>
      </c>
      <c r="AG14" s="36">
        <v>1</v>
      </c>
      <c r="AH14" s="8">
        <v>1</v>
      </c>
      <c r="AI14" s="8">
        <v>1</v>
      </c>
    </row>
    <row r="15" spans="1:35" x14ac:dyDescent="0.2">
      <c r="A15" s="9">
        <v>130</v>
      </c>
      <c r="B15" s="66">
        <v>350</v>
      </c>
      <c r="C15" s="36">
        <v>0.46</v>
      </c>
      <c r="D15" s="36">
        <v>0.51</v>
      </c>
      <c r="E15" s="36">
        <v>0.51</v>
      </c>
      <c r="F15" s="36">
        <v>0.56999999999999995</v>
      </c>
      <c r="G15" s="36">
        <v>0.55000000000000004</v>
      </c>
      <c r="H15" s="36">
        <v>0.57999999999999996</v>
      </c>
      <c r="I15" s="36">
        <v>0.6</v>
      </c>
      <c r="J15" s="36">
        <v>0.6</v>
      </c>
      <c r="K15" s="36">
        <v>0.62</v>
      </c>
      <c r="L15" s="36">
        <v>0.63</v>
      </c>
      <c r="M15" s="36">
        <v>0.63</v>
      </c>
      <c r="N15" s="36">
        <v>0.64</v>
      </c>
      <c r="O15" s="36">
        <v>0.66</v>
      </c>
      <c r="P15" s="36">
        <v>0.67</v>
      </c>
      <c r="Q15" s="36">
        <v>0.69</v>
      </c>
      <c r="R15" s="36">
        <v>0.7</v>
      </c>
      <c r="S15" s="36">
        <v>0.73</v>
      </c>
      <c r="T15" s="36">
        <v>0.75</v>
      </c>
      <c r="U15" s="36">
        <v>0.76</v>
      </c>
      <c r="V15" s="36">
        <v>0.77</v>
      </c>
      <c r="W15" s="36">
        <v>0.8</v>
      </c>
      <c r="X15" s="36">
        <v>0.82</v>
      </c>
      <c r="Y15" s="36">
        <v>0.82</v>
      </c>
      <c r="Z15" s="36">
        <v>0.84</v>
      </c>
      <c r="AA15" s="36">
        <v>0.86</v>
      </c>
      <c r="AB15" s="36">
        <v>0.87</v>
      </c>
      <c r="AC15" s="36">
        <v>0.89</v>
      </c>
      <c r="AD15" s="36">
        <v>0.91</v>
      </c>
      <c r="AE15" s="36">
        <v>0.93</v>
      </c>
      <c r="AF15" s="36">
        <v>1</v>
      </c>
      <c r="AG15" s="36">
        <v>1</v>
      </c>
      <c r="AH15" s="8">
        <v>1</v>
      </c>
      <c r="AI15" s="8">
        <v>1</v>
      </c>
    </row>
    <row r="16" spans="1:35" x14ac:dyDescent="0.2">
      <c r="A16" s="9">
        <v>140</v>
      </c>
      <c r="B16" s="66">
        <v>360</v>
      </c>
      <c r="C16" s="36">
        <v>0.46</v>
      </c>
      <c r="D16" s="36">
        <v>0.51</v>
      </c>
      <c r="E16" s="36">
        <v>0.51</v>
      </c>
      <c r="F16" s="36">
        <v>0.56999999999999995</v>
      </c>
      <c r="G16" s="36">
        <v>0.55000000000000004</v>
      </c>
      <c r="H16" s="36">
        <v>0.57999999999999996</v>
      </c>
      <c r="I16" s="36">
        <v>0.6</v>
      </c>
      <c r="J16" s="36">
        <v>0.6</v>
      </c>
      <c r="K16" s="36">
        <v>0.62</v>
      </c>
      <c r="L16" s="36">
        <v>0.63</v>
      </c>
      <c r="M16" s="36">
        <v>0.63</v>
      </c>
      <c r="N16" s="36">
        <v>0.64</v>
      </c>
      <c r="O16" s="36">
        <v>0.66</v>
      </c>
      <c r="P16" s="36">
        <v>0.67</v>
      </c>
      <c r="Q16" s="36">
        <v>0.69</v>
      </c>
      <c r="R16" s="36">
        <v>0.7</v>
      </c>
      <c r="S16" s="36">
        <v>0.73</v>
      </c>
      <c r="T16" s="36">
        <v>0.75</v>
      </c>
      <c r="U16" s="36">
        <v>0.76</v>
      </c>
      <c r="V16" s="36">
        <v>0.77</v>
      </c>
      <c r="W16" s="36">
        <v>0.8</v>
      </c>
      <c r="X16" s="36">
        <v>0.82</v>
      </c>
      <c r="Y16" s="36">
        <v>0.82</v>
      </c>
      <c r="Z16" s="36">
        <v>0.84</v>
      </c>
      <c r="AA16" s="36">
        <v>0.86</v>
      </c>
      <c r="AB16" s="36">
        <v>0.87</v>
      </c>
      <c r="AC16" s="36">
        <v>0.89</v>
      </c>
      <c r="AD16" s="36">
        <v>0.91</v>
      </c>
      <c r="AE16" s="36">
        <v>0.93</v>
      </c>
      <c r="AF16" s="36">
        <v>1</v>
      </c>
      <c r="AG16" s="36">
        <v>1</v>
      </c>
      <c r="AH16" s="8">
        <v>1</v>
      </c>
      <c r="AI16" s="8">
        <v>1</v>
      </c>
    </row>
    <row r="17" spans="1:35" x14ac:dyDescent="0.2">
      <c r="A17" s="9">
        <v>150</v>
      </c>
      <c r="B17" s="66">
        <v>370</v>
      </c>
      <c r="C17" s="36">
        <v>0.42</v>
      </c>
      <c r="D17" s="36">
        <v>0.48</v>
      </c>
      <c r="E17" s="36">
        <v>0.47</v>
      </c>
      <c r="F17" s="36">
        <v>0.53</v>
      </c>
      <c r="G17" s="36">
        <v>0.53</v>
      </c>
      <c r="H17" s="36">
        <v>0.53</v>
      </c>
      <c r="I17" s="36">
        <v>0.55000000000000004</v>
      </c>
      <c r="J17" s="36">
        <v>0.55000000000000004</v>
      </c>
      <c r="K17" s="36">
        <v>0.56999999999999995</v>
      </c>
      <c r="L17" s="36">
        <v>0.57999999999999996</v>
      </c>
      <c r="M17" s="36">
        <v>0.6</v>
      </c>
      <c r="N17" s="36">
        <v>0.61</v>
      </c>
      <c r="O17" s="36">
        <v>0.63</v>
      </c>
      <c r="P17" s="36">
        <v>0.64</v>
      </c>
      <c r="Q17" s="36">
        <v>0.66</v>
      </c>
      <c r="R17" s="36">
        <v>0.68</v>
      </c>
      <c r="S17" s="36">
        <v>0.7</v>
      </c>
      <c r="T17" s="36">
        <v>0.72</v>
      </c>
      <c r="U17" s="36">
        <v>0.74</v>
      </c>
      <c r="V17" s="36">
        <v>0.76</v>
      </c>
      <c r="W17" s="36">
        <v>0.78</v>
      </c>
      <c r="X17" s="36">
        <v>0.8</v>
      </c>
      <c r="Y17" s="36">
        <v>0.82</v>
      </c>
      <c r="Z17" s="36">
        <v>0.83</v>
      </c>
      <c r="AA17" s="36">
        <v>0.85</v>
      </c>
      <c r="AB17" s="36">
        <v>0.87</v>
      </c>
      <c r="AC17" s="36">
        <v>0.89</v>
      </c>
      <c r="AD17" s="36">
        <v>0.91</v>
      </c>
      <c r="AE17" s="36">
        <v>0.93</v>
      </c>
      <c r="AF17" s="36">
        <v>1</v>
      </c>
      <c r="AG17" s="36">
        <v>1</v>
      </c>
      <c r="AH17" s="8">
        <v>1</v>
      </c>
      <c r="AI17" s="8">
        <v>1</v>
      </c>
    </row>
    <row r="18" spans="1:35" x14ac:dyDescent="0.2">
      <c r="A18" s="9">
        <v>160</v>
      </c>
      <c r="B18" s="66">
        <v>380</v>
      </c>
      <c r="C18" s="36">
        <v>0.42</v>
      </c>
      <c r="D18" s="36">
        <v>0.48</v>
      </c>
      <c r="E18" s="36">
        <v>0.47</v>
      </c>
      <c r="F18" s="36">
        <v>0.53</v>
      </c>
      <c r="G18" s="36">
        <v>0.53</v>
      </c>
      <c r="H18" s="36">
        <v>0.53</v>
      </c>
      <c r="I18" s="36">
        <v>0.55000000000000004</v>
      </c>
      <c r="J18" s="36">
        <v>0.55000000000000004</v>
      </c>
      <c r="K18" s="36">
        <v>0.56999999999999995</v>
      </c>
      <c r="L18" s="36">
        <v>0.57999999999999996</v>
      </c>
      <c r="M18" s="36">
        <v>0.6</v>
      </c>
      <c r="N18" s="36">
        <v>0.61</v>
      </c>
      <c r="O18" s="36">
        <v>0.63</v>
      </c>
      <c r="P18" s="36">
        <v>0.64</v>
      </c>
      <c r="Q18" s="36">
        <v>0.66</v>
      </c>
      <c r="R18" s="36">
        <v>0.68</v>
      </c>
      <c r="S18" s="36">
        <v>0.7</v>
      </c>
      <c r="T18" s="36">
        <v>0.72</v>
      </c>
      <c r="U18" s="36">
        <v>0.74</v>
      </c>
      <c r="V18" s="36">
        <v>0.76</v>
      </c>
      <c r="W18" s="36">
        <v>0.78</v>
      </c>
      <c r="X18" s="36">
        <v>0.8</v>
      </c>
      <c r="Y18" s="36">
        <v>0.82</v>
      </c>
      <c r="Z18" s="36">
        <v>0.83</v>
      </c>
      <c r="AA18" s="36">
        <v>0.85</v>
      </c>
      <c r="AB18" s="36">
        <v>0.87</v>
      </c>
      <c r="AC18" s="36">
        <v>0.89</v>
      </c>
      <c r="AD18" s="36">
        <v>0.91</v>
      </c>
      <c r="AE18" s="36">
        <v>0.93</v>
      </c>
      <c r="AF18" s="36">
        <v>1</v>
      </c>
      <c r="AG18" s="36">
        <v>1</v>
      </c>
      <c r="AH18" s="8">
        <v>1</v>
      </c>
      <c r="AI18" s="8">
        <v>1</v>
      </c>
    </row>
    <row r="19" spans="1:35" x14ac:dyDescent="0.2">
      <c r="A19" s="9">
        <v>170</v>
      </c>
      <c r="B19" s="66">
        <v>390</v>
      </c>
      <c r="C19" s="36">
        <v>0.42</v>
      </c>
      <c r="D19" s="36">
        <v>0.48</v>
      </c>
      <c r="E19" s="36">
        <v>0.47</v>
      </c>
      <c r="F19" s="36">
        <v>0.53</v>
      </c>
      <c r="G19" s="36">
        <v>0.53</v>
      </c>
      <c r="H19" s="36">
        <v>0.53</v>
      </c>
      <c r="I19" s="36">
        <v>0.55000000000000004</v>
      </c>
      <c r="J19" s="36">
        <v>0.55000000000000004</v>
      </c>
      <c r="K19" s="36">
        <v>0.56999999999999995</v>
      </c>
      <c r="L19" s="36">
        <v>0.57999999999999996</v>
      </c>
      <c r="M19" s="36">
        <v>0.6</v>
      </c>
      <c r="N19" s="36">
        <v>0.61</v>
      </c>
      <c r="O19" s="36">
        <v>0.63</v>
      </c>
      <c r="P19" s="36">
        <v>0.64</v>
      </c>
      <c r="Q19" s="36">
        <v>0.66</v>
      </c>
      <c r="R19" s="36">
        <v>0.68</v>
      </c>
      <c r="S19" s="36">
        <v>0.7</v>
      </c>
      <c r="T19" s="36">
        <v>0.72</v>
      </c>
      <c r="U19" s="36">
        <v>0.74</v>
      </c>
      <c r="V19" s="36">
        <v>0.76</v>
      </c>
      <c r="W19" s="36">
        <v>0.78</v>
      </c>
      <c r="X19" s="36">
        <v>0.8</v>
      </c>
      <c r="Y19" s="36">
        <v>0.82</v>
      </c>
      <c r="Z19" s="36">
        <v>0.83</v>
      </c>
      <c r="AA19" s="36">
        <v>0.85</v>
      </c>
      <c r="AB19" s="36">
        <v>0.87</v>
      </c>
      <c r="AC19" s="36">
        <v>0.89</v>
      </c>
      <c r="AD19" s="36">
        <v>0.91</v>
      </c>
      <c r="AE19" s="36">
        <v>0.93</v>
      </c>
      <c r="AF19" s="36">
        <v>1</v>
      </c>
      <c r="AG19" s="36">
        <v>1</v>
      </c>
      <c r="AH19" s="8">
        <v>1</v>
      </c>
      <c r="AI19" s="8">
        <v>1</v>
      </c>
    </row>
    <row r="20" spans="1:35" x14ac:dyDescent="0.2">
      <c r="A20" s="9">
        <v>180</v>
      </c>
      <c r="B20" s="66">
        <v>400</v>
      </c>
      <c r="C20" s="36">
        <v>0.4</v>
      </c>
      <c r="D20" s="36">
        <v>0.45</v>
      </c>
      <c r="E20" s="36">
        <v>0.45</v>
      </c>
      <c r="F20" s="36">
        <v>0.5</v>
      </c>
      <c r="G20" s="36">
        <v>0.51</v>
      </c>
      <c r="H20" s="36">
        <v>0.5</v>
      </c>
      <c r="I20" s="36">
        <v>0.52</v>
      </c>
      <c r="J20" s="36">
        <v>0.53</v>
      </c>
      <c r="K20" s="36">
        <v>0.56000000000000005</v>
      </c>
      <c r="L20" s="36">
        <v>0.56999999999999995</v>
      </c>
      <c r="M20" s="36">
        <v>0.59</v>
      </c>
      <c r="N20" s="36">
        <v>0.61</v>
      </c>
      <c r="O20" s="36">
        <v>0.63</v>
      </c>
      <c r="P20" s="36">
        <v>0.64</v>
      </c>
      <c r="Q20" s="36">
        <v>0.66</v>
      </c>
      <c r="R20" s="36">
        <v>0.68</v>
      </c>
      <c r="S20" s="36">
        <v>0.7</v>
      </c>
      <c r="T20" s="36">
        <v>0.72</v>
      </c>
      <c r="U20" s="36">
        <v>0.74</v>
      </c>
      <c r="V20" s="36">
        <v>0.76</v>
      </c>
      <c r="W20" s="36">
        <v>0.78</v>
      </c>
      <c r="X20" s="36">
        <v>0.8</v>
      </c>
      <c r="Y20" s="36">
        <v>0.82</v>
      </c>
      <c r="Z20" s="36">
        <v>0.83</v>
      </c>
      <c r="AA20" s="36">
        <v>0.85</v>
      </c>
      <c r="AB20" s="36">
        <v>0.87</v>
      </c>
      <c r="AC20" s="36">
        <v>0.89</v>
      </c>
      <c r="AD20" s="36">
        <v>0.91</v>
      </c>
      <c r="AE20" s="36">
        <v>0.93</v>
      </c>
      <c r="AF20" s="36">
        <v>1</v>
      </c>
      <c r="AG20" s="36">
        <v>1</v>
      </c>
      <c r="AH20" s="8">
        <v>1</v>
      </c>
      <c r="AI20" s="8">
        <v>1</v>
      </c>
    </row>
    <row r="21" spans="1:35" x14ac:dyDescent="0.2">
      <c r="A21" s="9">
        <v>190</v>
      </c>
      <c r="B21" s="66">
        <v>410</v>
      </c>
      <c r="C21" s="36">
        <v>0.4</v>
      </c>
      <c r="D21" s="36">
        <v>0.45</v>
      </c>
      <c r="E21" s="36">
        <v>0.45</v>
      </c>
      <c r="F21" s="36">
        <v>0.5</v>
      </c>
      <c r="G21" s="36">
        <v>0.51</v>
      </c>
      <c r="H21" s="36">
        <v>0.5</v>
      </c>
      <c r="I21" s="36">
        <v>0.52</v>
      </c>
      <c r="J21" s="36">
        <v>0.53</v>
      </c>
      <c r="K21" s="36">
        <v>0.56000000000000005</v>
      </c>
      <c r="L21" s="36">
        <v>0.56999999999999995</v>
      </c>
      <c r="M21" s="36">
        <v>0.59</v>
      </c>
      <c r="N21" s="36">
        <v>0.61</v>
      </c>
      <c r="O21" s="36">
        <v>0.63</v>
      </c>
      <c r="P21" s="36">
        <v>0.64</v>
      </c>
      <c r="Q21" s="36">
        <v>0.66</v>
      </c>
      <c r="R21" s="36">
        <v>0.68</v>
      </c>
      <c r="S21" s="36">
        <v>0.7</v>
      </c>
      <c r="T21" s="36">
        <v>0.72</v>
      </c>
      <c r="U21" s="36">
        <v>0.74</v>
      </c>
      <c r="V21" s="36">
        <v>0.76</v>
      </c>
      <c r="W21" s="36">
        <v>0.78</v>
      </c>
      <c r="X21" s="36">
        <v>0.8</v>
      </c>
      <c r="Y21" s="36">
        <v>0.82</v>
      </c>
      <c r="Z21" s="36">
        <v>0.83</v>
      </c>
      <c r="AA21" s="36">
        <v>0.85</v>
      </c>
      <c r="AB21" s="36">
        <v>0.87</v>
      </c>
      <c r="AC21" s="36">
        <v>0.89</v>
      </c>
      <c r="AD21" s="36">
        <v>0.91</v>
      </c>
      <c r="AE21" s="36">
        <v>0.93</v>
      </c>
      <c r="AF21" s="36">
        <v>1</v>
      </c>
      <c r="AG21" s="36">
        <v>1</v>
      </c>
      <c r="AH21" s="8">
        <v>1</v>
      </c>
      <c r="AI21" s="8">
        <v>1</v>
      </c>
    </row>
    <row r="22" spans="1:35" x14ac:dyDescent="0.2">
      <c r="A22" s="9">
        <v>200</v>
      </c>
      <c r="B22" s="66">
        <v>420</v>
      </c>
      <c r="C22" s="36">
        <v>0.38</v>
      </c>
      <c r="D22" s="36">
        <v>0.41</v>
      </c>
      <c r="E22" s="36">
        <v>0.43</v>
      </c>
      <c r="F22" s="36">
        <v>0.48</v>
      </c>
      <c r="G22" s="36">
        <v>0.5</v>
      </c>
      <c r="H22" s="36">
        <v>0.48</v>
      </c>
      <c r="I22" s="36">
        <v>0.5</v>
      </c>
      <c r="J22" s="36">
        <v>0.5</v>
      </c>
      <c r="K22" s="36">
        <v>0.53</v>
      </c>
      <c r="L22" s="36">
        <v>0.56999999999999995</v>
      </c>
      <c r="M22" s="36">
        <v>0.56999999999999995</v>
      </c>
      <c r="N22" s="36">
        <v>0.59</v>
      </c>
      <c r="O22" s="36">
        <v>0.61</v>
      </c>
      <c r="P22" s="36">
        <v>0.64</v>
      </c>
      <c r="Q22" s="36">
        <v>0.66</v>
      </c>
      <c r="R22" s="36">
        <v>0.68</v>
      </c>
      <c r="S22" s="36">
        <v>0.7</v>
      </c>
      <c r="T22" s="36">
        <v>0.72</v>
      </c>
      <c r="U22" s="36">
        <v>0.74</v>
      </c>
      <c r="V22" s="36">
        <v>0.76</v>
      </c>
      <c r="W22" s="36">
        <v>0.78</v>
      </c>
      <c r="X22" s="36">
        <v>0.8</v>
      </c>
      <c r="Y22" s="36">
        <v>0.82</v>
      </c>
      <c r="Z22" s="36">
        <v>0.83</v>
      </c>
      <c r="AA22" s="36">
        <v>0.85</v>
      </c>
      <c r="AB22" s="36">
        <v>0.87</v>
      </c>
      <c r="AC22" s="36">
        <v>0.89</v>
      </c>
      <c r="AD22" s="36">
        <v>0.91</v>
      </c>
      <c r="AE22" s="36">
        <v>0.93</v>
      </c>
      <c r="AF22" s="36">
        <v>1</v>
      </c>
      <c r="AG22" s="36">
        <v>1</v>
      </c>
      <c r="AH22" s="8">
        <v>1</v>
      </c>
      <c r="AI22" s="8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">
    <tabColor theme="3" tint="0.59999389629810485"/>
  </sheetPr>
  <dimension ref="A1:AJ47"/>
  <sheetViews>
    <sheetView tabSelected="1" workbookViewId="0">
      <pane ySplit="3" topLeftCell="A4" activePane="bottomLeft" state="frozen"/>
      <selection activeCell="G1" sqref="G1"/>
      <selection pane="bottomLeft" activeCell="B4" sqref="B4"/>
    </sheetView>
  </sheetViews>
  <sheetFormatPr baseColWidth="10" defaultColWidth="11.5703125" defaultRowHeight="12.75" x14ac:dyDescent="0.2"/>
  <cols>
    <col min="1" max="1" width="7.85546875" customWidth="1"/>
    <col min="2" max="2" width="10.5703125" customWidth="1"/>
    <col min="3" max="35" width="6.140625" customWidth="1"/>
  </cols>
  <sheetData>
    <row r="1" spans="1:35" ht="18" x14ac:dyDescent="0.25">
      <c r="A1" s="1" t="s">
        <v>152</v>
      </c>
    </row>
    <row r="2" spans="1:35" x14ac:dyDescent="0.2">
      <c r="A2" s="2" t="s">
        <v>0</v>
      </c>
      <c r="B2" s="33" t="s">
        <v>99</v>
      </c>
      <c r="C2" s="34" t="s">
        <v>100</v>
      </c>
      <c r="D2" s="34" t="s">
        <v>101</v>
      </c>
      <c r="E2" s="34" t="s">
        <v>102</v>
      </c>
      <c r="F2" s="34" t="s">
        <v>103</v>
      </c>
      <c r="G2" s="34" t="s">
        <v>104</v>
      </c>
      <c r="H2" s="34" t="s">
        <v>105</v>
      </c>
      <c r="I2" s="34" t="s">
        <v>106</v>
      </c>
      <c r="J2" s="34" t="s">
        <v>107</v>
      </c>
      <c r="K2" s="34" t="s">
        <v>108</v>
      </c>
      <c r="L2" s="34" t="s">
        <v>109</v>
      </c>
      <c r="M2" s="34" t="s">
        <v>110</v>
      </c>
      <c r="N2" s="34" t="s">
        <v>111</v>
      </c>
      <c r="O2" s="34" t="s">
        <v>112</v>
      </c>
      <c r="P2" s="34" t="s">
        <v>113</v>
      </c>
      <c r="Q2" s="34" t="s">
        <v>114</v>
      </c>
      <c r="R2" s="34" t="s">
        <v>115</v>
      </c>
      <c r="S2" s="34" t="s">
        <v>116</v>
      </c>
      <c r="T2" s="34" t="s">
        <v>117</v>
      </c>
      <c r="U2" s="34" t="s">
        <v>118</v>
      </c>
      <c r="V2" s="34" t="s">
        <v>119</v>
      </c>
      <c r="W2" s="34" t="s">
        <v>120</v>
      </c>
      <c r="X2" s="34" t="s">
        <v>121</v>
      </c>
      <c r="Y2" s="34" t="s">
        <v>122</v>
      </c>
      <c r="Z2" s="34" t="s">
        <v>123</v>
      </c>
      <c r="AA2" s="34" t="s">
        <v>124</v>
      </c>
      <c r="AB2" s="34" t="s">
        <v>125</v>
      </c>
      <c r="AC2" s="34" t="s">
        <v>126</v>
      </c>
      <c r="AD2" s="34" t="s">
        <v>127</v>
      </c>
      <c r="AE2" s="34" t="s">
        <v>128</v>
      </c>
      <c r="AF2" s="34" t="s">
        <v>129</v>
      </c>
      <c r="AG2" s="34" t="s">
        <v>130</v>
      </c>
      <c r="AH2" s="34" t="s">
        <v>131</v>
      </c>
      <c r="AI2" s="35" t="s">
        <v>132</v>
      </c>
    </row>
    <row r="3" spans="1:35" x14ac:dyDescent="0.2">
      <c r="A3" s="3"/>
      <c r="B3" s="34" t="s">
        <v>133</v>
      </c>
      <c r="C3" s="34">
        <v>0.4</v>
      </c>
      <c r="D3" s="34">
        <v>0.8</v>
      </c>
      <c r="E3" s="34">
        <v>1.2</v>
      </c>
      <c r="F3" s="34">
        <v>1.6</v>
      </c>
      <c r="G3" s="34">
        <v>2</v>
      </c>
      <c r="H3" s="34">
        <v>2.4</v>
      </c>
      <c r="I3" s="34">
        <v>2.8</v>
      </c>
      <c r="J3" s="34">
        <v>3.2</v>
      </c>
      <c r="K3" s="34">
        <v>3.6</v>
      </c>
      <c r="L3" s="34">
        <v>4</v>
      </c>
      <c r="M3" s="34">
        <v>4.4000000000000004</v>
      </c>
      <c r="N3" s="34">
        <v>4.8</v>
      </c>
      <c r="O3" s="34">
        <v>5.2</v>
      </c>
      <c r="P3" s="34">
        <v>5.6</v>
      </c>
      <c r="Q3" s="34">
        <v>6</v>
      </c>
      <c r="R3" s="34">
        <v>6.4</v>
      </c>
      <c r="S3" s="34">
        <v>6.8</v>
      </c>
      <c r="T3" s="34">
        <v>7.2</v>
      </c>
      <c r="U3" s="34">
        <v>7.6</v>
      </c>
      <c r="V3" s="34">
        <v>8</v>
      </c>
      <c r="W3" s="34">
        <v>8.4</v>
      </c>
      <c r="X3" s="34">
        <v>8.8000000000000007</v>
      </c>
      <c r="Y3" s="34">
        <v>9.1999999999999993</v>
      </c>
      <c r="Z3" s="34">
        <v>9.6</v>
      </c>
      <c r="AA3" s="34">
        <v>10</v>
      </c>
      <c r="AB3" s="34">
        <v>10.4</v>
      </c>
      <c r="AC3" s="34">
        <v>10.8</v>
      </c>
      <c r="AD3" s="34">
        <v>11.2</v>
      </c>
      <c r="AE3" s="34">
        <v>11.6</v>
      </c>
      <c r="AF3" s="34">
        <v>12</v>
      </c>
      <c r="AG3" s="34">
        <v>12.4</v>
      </c>
      <c r="AH3" s="34">
        <v>12.8</v>
      </c>
      <c r="AI3" s="35">
        <v>13.4</v>
      </c>
    </row>
    <row r="4" spans="1:35" x14ac:dyDescent="0.2">
      <c r="A4" s="37"/>
      <c r="B4" s="9">
        <v>300</v>
      </c>
      <c r="C4" s="36">
        <v>0.55000000000000004</v>
      </c>
      <c r="D4" s="36">
        <v>0.65</v>
      </c>
      <c r="E4" s="36">
        <v>0.67</v>
      </c>
      <c r="F4" s="36">
        <v>0.71</v>
      </c>
      <c r="G4" s="36">
        <v>0.72</v>
      </c>
      <c r="H4" s="36">
        <v>0.73</v>
      </c>
      <c r="I4" s="36">
        <v>0.74</v>
      </c>
      <c r="J4" s="36">
        <v>0.75</v>
      </c>
      <c r="K4" s="36">
        <v>0.76</v>
      </c>
      <c r="L4" s="36">
        <v>0.77</v>
      </c>
      <c r="M4" s="36">
        <v>0.78</v>
      </c>
      <c r="N4" s="36">
        <v>0.8</v>
      </c>
      <c r="O4" s="36">
        <v>0.8</v>
      </c>
      <c r="P4" s="36">
        <v>0.81</v>
      </c>
      <c r="Q4" s="36">
        <v>0.82</v>
      </c>
      <c r="R4" s="36">
        <v>0.83</v>
      </c>
      <c r="S4" s="36">
        <v>0.84</v>
      </c>
      <c r="T4" s="36">
        <v>0.85</v>
      </c>
      <c r="U4" s="36">
        <v>0.86</v>
      </c>
      <c r="V4" s="36">
        <v>0.87</v>
      </c>
      <c r="W4" s="36">
        <v>0.88</v>
      </c>
      <c r="X4" s="36">
        <v>0.89</v>
      </c>
      <c r="Y4" s="36">
        <v>0.9</v>
      </c>
      <c r="Z4" s="36">
        <v>0.91</v>
      </c>
      <c r="AA4" s="36">
        <v>0.92</v>
      </c>
      <c r="AB4" s="36">
        <v>0.93</v>
      </c>
      <c r="AC4" s="36">
        <v>0.94</v>
      </c>
      <c r="AD4" s="36">
        <v>0.95</v>
      </c>
      <c r="AE4" s="36">
        <v>0.96</v>
      </c>
      <c r="AF4" s="36">
        <v>1</v>
      </c>
      <c r="AG4" s="36">
        <v>1</v>
      </c>
      <c r="AH4" s="8">
        <v>1</v>
      </c>
      <c r="AI4" s="8">
        <v>1</v>
      </c>
    </row>
    <row r="5" spans="1:35" x14ac:dyDescent="0.2">
      <c r="A5" s="37"/>
      <c r="B5" s="9">
        <v>310</v>
      </c>
      <c r="C5" s="36">
        <v>0.49</v>
      </c>
      <c r="D5" s="36">
        <v>0.55000000000000004</v>
      </c>
      <c r="E5" s="36">
        <v>0.54</v>
      </c>
      <c r="F5" s="36">
        <v>0.61</v>
      </c>
      <c r="G5" s="36">
        <v>0.56999999999999995</v>
      </c>
      <c r="H5" s="36">
        <v>0.62</v>
      </c>
      <c r="I5" s="36">
        <v>0.64</v>
      </c>
      <c r="J5" s="36">
        <v>0.64</v>
      </c>
      <c r="K5" s="36">
        <v>0.66</v>
      </c>
      <c r="L5" s="36">
        <v>0.67</v>
      </c>
      <c r="M5" s="36">
        <v>0.67</v>
      </c>
      <c r="N5" s="36">
        <v>0.69</v>
      </c>
      <c r="O5" s="36">
        <v>0.7</v>
      </c>
      <c r="P5" s="36">
        <v>0.72</v>
      </c>
      <c r="Q5" s="36">
        <v>0.74</v>
      </c>
      <c r="R5" s="36">
        <v>0.75</v>
      </c>
      <c r="S5" s="36">
        <v>0.78</v>
      </c>
      <c r="T5" s="36">
        <v>0.8</v>
      </c>
      <c r="U5" s="36">
        <v>0.81</v>
      </c>
      <c r="V5" s="36">
        <v>0.83</v>
      </c>
      <c r="W5" s="36">
        <v>0.86</v>
      </c>
      <c r="X5" s="36">
        <v>0.88</v>
      </c>
      <c r="Y5" s="36">
        <v>0.88</v>
      </c>
      <c r="Z5" s="36">
        <v>0.9</v>
      </c>
      <c r="AA5" s="36">
        <v>0.92</v>
      </c>
      <c r="AB5" s="36">
        <v>0.93</v>
      </c>
      <c r="AC5" s="36">
        <v>0.94</v>
      </c>
      <c r="AD5" s="36">
        <v>0.95</v>
      </c>
      <c r="AE5" s="36">
        <v>0.96</v>
      </c>
      <c r="AF5" s="36">
        <v>1</v>
      </c>
      <c r="AG5" s="36">
        <v>1</v>
      </c>
      <c r="AH5" s="36">
        <v>1</v>
      </c>
      <c r="AI5" s="36">
        <v>1</v>
      </c>
    </row>
    <row r="6" spans="1:35" x14ac:dyDescent="0.2">
      <c r="A6" s="37"/>
      <c r="B6" s="9">
        <v>320</v>
      </c>
      <c r="C6" s="36">
        <v>0.49</v>
      </c>
      <c r="D6" s="36">
        <v>0.55000000000000004</v>
      </c>
      <c r="E6" s="36">
        <v>0.54</v>
      </c>
      <c r="F6" s="36">
        <v>0.61</v>
      </c>
      <c r="G6" s="36">
        <v>0.56999999999999995</v>
      </c>
      <c r="H6" s="36">
        <v>0.62</v>
      </c>
      <c r="I6" s="36">
        <v>0.64</v>
      </c>
      <c r="J6" s="36">
        <v>0.64</v>
      </c>
      <c r="K6" s="36">
        <v>0.66</v>
      </c>
      <c r="L6" s="36">
        <v>0.67</v>
      </c>
      <c r="M6" s="36">
        <v>0.67</v>
      </c>
      <c r="N6" s="36">
        <v>0.69</v>
      </c>
      <c r="O6" s="36">
        <v>0.7</v>
      </c>
      <c r="P6" s="36">
        <v>0.72</v>
      </c>
      <c r="Q6" s="36">
        <v>0.74</v>
      </c>
      <c r="R6" s="36">
        <v>0.75</v>
      </c>
      <c r="S6" s="36">
        <v>0.78</v>
      </c>
      <c r="T6" s="36">
        <v>0.8</v>
      </c>
      <c r="U6" s="36">
        <v>0.81</v>
      </c>
      <c r="V6" s="36">
        <v>0.83</v>
      </c>
      <c r="W6" s="36">
        <v>0.86</v>
      </c>
      <c r="X6" s="36">
        <v>0.88</v>
      </c>
      <c r="Y6" s="36">
        <v>0.88</v>
      </c>
      <c r="Z6" s="36">
        <v>0.9</v>
      </c>
      <c r="AA6" s="36">
        <v>0.92</v>
      </c>
      <c r="AB6" s="36">
        <v>0.93</v>
      </c>
      <c r="AC6" s="36">
        <v>0.94</v>
      </c>
      <c r="AD6" s="36">
        <v>0.95</v>
      </c>
      <c r="AE6" s="36">
        <v>0.96</v>
      </c>
      <c r="AF6" s="36">
        <v>1</v>
      </c>
      <c r="AG6" s="36">
        <v>1</v>
      </c>
      <c r="AH6" s="36">
        <v>1</v>
      </c>
      <c r="AI6" s="36">
        <v>1</v>
      </c>
    </row>
    <row r="7" spans="1:35" x14ac:dyDescent="0.2">
      <c r="A7" s="37"/>
      <c r="B7" s="9">
        <v>330</v>
      </c>
      <c r="C7" s="36">
        <v>0.49</v>
      </c>
      <c r="D7" s="36">
        <v>0.55000000000000004</v>
      </c>
      <c r="E7" s="36">
        <v>0.54</v>
      </c>
      <c r="F7" s="36">
        <v>0.61</v>
      </c>
      <c r="G7" s="36">
        <v>0.56999999999999995</v>
      </c>
      <c r="H7" s="36">
        <v>0.62</v>
      </c>
      <c r="I7" s="36">
        <v>0.64</v>
      </c>
      <c r="J7" s="36">
        <v>0.64</v>
      </c>
      <c r="K7" s="36">
        <v>0.66</v>
      </c>
      <c r="L7" s="36">
        <v>0.67</v>
      </c>
      <c r="M7" s="36">
        <v>0.67</v>
      </c>
      <c r="N7" s="36">
        <v>0.69</v>
      </c>
      <c r="O7" s="36">
        <v>0.7</v>
      </c>
      <c r="P7" s="36">
        <v>0.72</v>
      </c>
      <c r="Q7" s="36">
        <v>0.74</v>
      </c>
      <c r="R7" s="36">
        <v>0.75</v>
      </c>
      <c r="S7" s="36">
        <v>0.78</v>
      </c>
      <c r="T7" s="36">
        <v>0.8</v>
      </c>
      <c r="U7" s="36">
        <v>0.81</v>
      </c>
      <c r="V7" s="36">
        <v>0.83</v>
      </c>
      <c r="W7" s="36">
        <v>0.86</v>
      </c>
      <c r="X7" s="36">
        <v>0.88</v>
      </c>
      <c r="Y7" s="36">
        <v>0.88</v>
      </c>
      <c r="Z7" s="36">
        <v>0.9</v>
      </c>
      <c r="AA7" s="36">
        <v>0.92</v>
      </c>
      <c r="AB7" s="36">
        <v>0.93</v>
      </c>
      <c r="AC7" s="36">
        <v>0.94</v>
      </c>
      <c r="AD7" s="36">
        <v>0.95</v>
      </c>
      <c r="AE7" s="36">
        <v>0.96</v>
      </c>
      <c r="AF7" s="36">
        <v>1</v>
      </c>
      <c r="AG7" s="36">
        <v>1</v>
      </c>
      <c r="AH7" s="36">
        <v>1</v>
      </c>
      <c r="AI7" s="36">
        <v>1</v>
      </c>
    </row>
    <row r="8" spans="1:35" x14ac:dyDescent="0.2">
      <c r="A8" s="37"/>
      <c r="B8" s="9">
        <v>340</v>
      </c>
      <c r="C8" s="36">
        <v>0.46</v>
      </c>
      <c r="D8" s="36">
        <v>0.51</v>
      </c>
      <c r="E8" s="36">
        <v>0.51</v>
      </c>
      <c r="F8" s="36">
        <v>0.56999999999999995</v>
      </c>
      <c r="G8" s="36">
        <v>0.55000000000000004</v>
      </c>
      <c r="H8" s="36">
        <v>0.57999999999999996</v>
      </c>
      <c r="I8" s="36">
        <v>0.6</v>
      </c>
      <c r="J8" s="36">
        <v>0.6</v>
      </c>
      <c r="K8" s="36">
        <v>0.62</v>
      </c>
      <c r="L8" s="36">
        <v>0.63</v>
      </c>
      <c r="M8" s="36">
        <v>0.63</v>
      </c>
      <c r="N8" s="36">
        <v>0.64</v>
      </c>
      <c r="O8" s="36">
        <v>0.66</v>
      </c>
      <c r="P8" s="36">
        <v>0.67</v>
      </c>
      <c r="Q8" s="36">
        <v>0.69</v>
      </c>
      <c r="R8" s="36">
        <v>0.7</v>
      </c>
      <c r="S8" s="36">
        <v>0.73</v>
      </c>
      <c r="T8" s="36">
        <v>0.75</v>
      </c>
      <c r="U8" s="36">
        <v>0.76</v>
      </c>
      <c r="V8" s="36">
        <v>0.77</v>
      </c>
      <c r="W8" s="36">
        <v>0.8</v>
      </c>
      <c r="X8" s="36">
        <v>0.82</v>
      </c>
      <c r="Y8" s="36">
        <v>0.82</v>
      </c>
      <c r="Z8" s="36">
        <v>0.84</v>
      </c>
      <c r="AA8" s="36">
        <v>0.86</v>
      </c>
      <c r="AB8" s="36">
        <v>0.87</v>
      </c>
      <c r="AC8" s="36">
        <v>0.89</v>
      </c>
      <c r="AD8" s="36">
        <v>0.91</v>
      </c>
      <c r="AE8" s="36">
        <v>0.93</v>
      </c>
      <c r="AF8" s="36">
        <v>1</v>
      </c>
      <c r="AG8" s="36">
        <v>1</v>
      </c>
      <c r="AH8" s="36">
        <v>1</v>
      </c>
      <c r="AI8" s="36">
        <v>1</v>
      </c>
    </row>
    <row r="9" spans="1:35" x14ac:dyDescent="0.2">
      <c r="A9" s="37"/>
      <c r="B9" s="9">
        <v>350</v>
      </c>
      <c r="C9" s="36">
        <v>0.46</v>
      </c>
      <c r="D9" s="36">
        <v>0.51</v>
      </c>
      <c r="E9" s="36">
        <v>0.51</v>
      </c>
      <c r="F9" s="36">
        <v>0.56999999999999995</v>
      </c>
      <c r="G9" s="36">
        <v>0.55000000000000004</v>
      </c>
      <c r="H9" s="36">
        <v>0.57999999999999996</v>
      </c>
      <c r="I9" s="36">
        <v>0.6</v>
      </c>
      <c r="J9" s="36">
        <v>0.6</v>
      </c>
      <c r="K9" s="36">
        <v>0.62</v>
      </c>
      <c r="L9" s="36">
        <v>0.63</v>
      </c>
      <c r="M9" s="36">
        <v>0.63</v>
      </c>
      <c r="N9" s="36">
        <v>0.64</v>
      </c>
      <c r="O9" s="36">
        <v>0.66</v>
      </c>
      <c r="P9" s="36">
        <v>0.67</v>
      </c>
      <c r="Q9" s="36">
        <v>0.69</v>
      </c>
      <c r="R9" s="36">
        <v>0.7</v>
      </c>
      <c r="S9" s="36">
        <v>0.73</v>
      </c>
      <c r="T9" s="36">
        <v>0.75</v>
      </c>
      <c r="U9" s="36">
        <v>0.76</v>
      </c>
      <c r="V9" s="36">
        <v>0.77</v>
      </c>
      <c r="W9" s="36">
        <v>0.8</v>
      </c>
      <c r="X9" s="36">
        <v>0.82</v>
      </c>
      <c r="Y9" s="36">
        <v>0.82</v>
      </c>
      <c r="Z9" s="36">
        <v>0.84</v>
      </c>
      <c r="AA9" s="36">
        <v>0.86</v>
      </c>
      <c r="AB9" s="36">
        <v>0.87</v>
      </c>
      <c r="AC9" s="36">
        <v>0.89</v>
      </c>
      <c r="AD9" s="36">
        <v>0.91</v>
      </c>
      <c r="AE9" s="36">
        <v>0.93</v>
      </c>
      <c r="AF9" s="36">
        <v>1</v>
      </c>
      <c r="AG9" s="36">
        <v>1</v>
      </c>
      <c r="AH9" s="36">
        <v>1</v>
      </c>
      <c r="AI9" s="36">
        <v>1</v>
      </c>
    </row>
    <row r="10" spans="1:35" x14ac:dyDescent="0.2">
      <c r="A10" s="37"/>
      <c r="B10" s="9">
        <v>360</v>
      </c>
      <c r="C10" s="36">
        <v>0.46</v>
      </c>
      <c r="D10" s="36">
        <v>0.51</v>
      </c>
      <c r="E10" s="36">
        <v>0.51</v>
      </c>
      <c r="F10" s="36">
        <v>0.56999999999999995</v>
      </c>
      <c r="G10" s="36">
        <v>0.55000000000000004</v>
      </c>
      <c r="H10" s="36">
        <v>0.57999999999999996</v>
      </c>
      <c r="I10" s="36">
        <v>0.6</v>
      </c>
      <c r="J10" s="36">
        <v>0.6</v>
      </c>
      <c r="K10" s="36">
        <v>0.62</v>
      </c>
      <c r="L10" s="36">
        <v>0.63</v>
      </c>
      <c r="M10" s="36">
        <v>0.63</v>
      </c>
      <c r="N10" s="36">
        <v>0.64</v>
      </c>
      <c r="O10" s="36">
        <v>0.66</v>
      </c>
      <c r="P10" s="36">
        <v>0.67</v>
      </c>
      <c r="Q10" s="36">
        <v>0.69</v>
      </c>
      <c r="R10" s="36">
        <v>0.7</v>
      </c>
      <c r="S10" s="36">
        <v>0.73</v>
      </c>
      <c r="T10" s="36">
        <v>0.75</v>
      </c>
      <c r="U10" s="36">
        <v>0.76</v>
      </c>
      <c r="V10" s="36">
        <v>0.77</v>
      </c>
      <c r="W10" s="36">
        <v>0.8</v>
      </c>
      <c r="X10" s="36">
        <v>0.82</v>
      </c>
      <c r="Y10" s="36">
        <v>0.82</v>
      </c>
      <c r="Z10" s="36">
        <v>0.84</v>
      </c>
      <c r="AA10" s="36">
        <v>0.86</v>
      </c>
      <c r="AB10" s="36">
        <v>0.87</v>
      </c>
      <c r="AC10" s="36">
        <v>0.89</v>
      </c>
      <c r="AD10" s="36">
        <v>0.91</v>
      </c>
      <c r="AE10" s="36">
        <v>0.93</v>
      </c>
      <c r="AF10" s="36">
        <v>1</v>
      </c>
      <c r="AG10" s="36">
        <v>1</v>
      </c>
      <c r="AH10" s="36">
        <v>1</v>
      </c>
      <c r="AI10" s="36">
        <v>1</v>
      </c>
    </row>
    <row r="11" spans="1:35" x14ac:dyDescent="0.2">
      <c r="A11" s="37"/>
      <c r="B11" s="9">
        <v>370</v>
      </c>
      <c r="C11" s="36">
        <v>0.42</v>
      </c>
      <c r="D11" s="36">
        <v>0.48</v>
      </c>
      <c r="E11" s="36">
        <v>0.47</v>
      </c>
      <c r="F11" s="36">
        <v>0.53</v>
      </c>
      <c r="G11" s="36">
        <v>0.53</v>
      </c>
      <c r="H11" s="36">
        <v>0.53</v>
      </c>
      <c r="I11" s="36">
        <v>0.55000000000000004</v>
      </c>
      <c r="J11" s="36">
        <v>0.55000000000000004</v>
      </c>
      <c r="K11" s="36">
        <v>0.56999999999999995</v>
      </c>
      <c r="L11" s="36">
        <v>0.57999999999999996</v>
      </c>
      <c r="M11" s="36">
        <v>0.6</v>
      </c>
      <c r="N11" s="36">
        <v>0.61</v>
      </c>
      <c r="O11" s="36">
        <v>0.63</v>
      </c>
      <c r="P11" s="36">
        <v>0.64</v>
      </c>
      <c r="Q11" s="36">
        <v>0.66</v>
      </c>
      <c r="R11" s="36">
        <v>0.68</v>
      </c>
      <c r="S11" s="36">
        <v>0.7</v>
      </c>
      <c r="T11" s="36">
        <v>0.72</v>
      </c>
      <c r="U11" s="36">
        <v>0.74</v>
      </c>
      <c r="V11" s="36">
        <v>0.76</v>
      </c>
      <c r="W11" s="36">
        <v>0.78</v>
      </c>
      <c r="X11" s="36">
        <v>0.8</v>
      </c>
      <c r="Y11" s="36">
        <v>0.82</v>
      </c>
      <c r="Z11" s="36">
        <v>0.83</v>
      </c>
      <c r="AA11" s="36">
        <v>0.85</v>
      </c>
      <c r="AB11" s="36">
        <v>0.87</v>
      </c>
      <c r="AC11" s="36">
        <v>0.89</v>
      </c>
      <c r="AD11" s="36">
        <v>0.91</v>
      </c>
      <c r="AE11" s="36">
        <v>0.93</v>
      </c>
      <c r="AF11" s="36">
        <v>1</v>
      </c>
      <c r="AG11" s="36">
        <v>1</v>
      </c>
      <c r="AH11" s="36">
        <v>1</v>
      </c>
      <c r="AI11" s="36">
        <v>1</v>
      </c>
    </row>
    <row r="12" spans="1:35" x14ac:dyDescent="0.2">
      <c r="A12" s="37"/>
      <c r="B12" s="9">
        <v>380</v>
      </c>
      <c r="C12" s="36">
        <v>0.42</v>
      </c>
      <c r="D12" s="36">
        <v>0.48</v>
      </c>
      <c r="E12" s="36">
        <v>0.47</v>
      </c>
      <c r="F12" s="36">
        <v>0.53</v>
      </c>
      <c r="G12" s="36">
        <v>0.53</v>
      </c>
      <c r="H12" s="36">
        <v>0.53</v>
      </c>
      <c r="I12" s="36">
        <v>0.55000000000000004</v>
      </c>
      <c r="J12" s="36">
        <v>0.55000000000000004</v>
      </c>
      <c r="K12" s="36">
        <v>0.56999999999999995</v>
      </c>
      <c r="L12" s="36">
        <v>0.57999999999999996</v>
      </c>
      <c r="M12" s="36">
        <v>0.6</v>
      </c>
      <c r="N12" s="36">
        <v>0.61</v>
      </c>
      <c r="O12" s="36">
        <v>0.63</v>
      </c>
      <c r="P12" s="36">
        <v>0.64</v>
      </c>
      <c r="Q12" s="36">
        <v>0.66</v>
      </c>
      <c r="R12" s="36">
        <v>0.68</v>
      </c>
      <c r="S12" s="36">
        <v>0.7</v>
      </c>
      <c r="T12" s="36">
        <v>0.72</v>
      </c>
      <c r="U12" s="36">
        <v>0.74</v>
      </c>
      <c r="V12" s="36">
        <v>0.76</v>
      </c>
      <c r="W12" s="36">
        <v>0.78</v>
      </c>
      <c r="X12" s="36">
        <v>0.8</v>
      </c>
      <c r="Y12" s="36">
        <v>0.82</v>
      </c>
      <c r="Z12" s="36">
        <v>0.83</v>
      </c>
      <c r="AA12" s="36">
        <v>0.85</v>
      </c>
      <c r="AB12" s="36">
        <v>0.87</v>
      </c>
      <c r="AC12" s="36">
        <v>0.89</v>
      </c>
      <c r="AD12" s="36">
        <v>0.91</v>
      </c>
      <c r="AE12" s="36">
        <v>0.93</v>
      </c>
      <c r="AF12" s="36">
        <v>1</v>
      </c>
      <c r="AG12" s="36">
        <v>1</v>
      </c>
      <c r="AH12" s="36">
        <v>1</v>
      </c>
      <c r="AI12" s="36">
        <v>1</v>
      </c>
    </row>
    <row r="13" spans="1:35" x14ac:dyDescent="0.2">
      <c r="A13" s="37"/>
      <c r="B13" s="9">
        <v>390</v>
      </c>
      <c r="C13" s="36">
        <v>0.42</v>
      </c>
      <c r="D13" s="36">
        <v>0.48</v>
      </c>
      <c r="E13" s="36">
        <v>0.47</v>
      </c>
      <c r="F13" s="36">
        <v>0.53</v>
      </c>
      <c r="G13" s="36">
        <v>0.53</v>
      </c>
      <c r="H13" s="36">
        <v>0.53</v>
      </c>
      <c r="I13" s="36">
        <v>0.55000000000000004</v>
      </c>
      <c r="J13" s="36">
        <v>0.55000000000000004</v>
      </c>
      <c r="K13" s="36">
        <v>0.56999999999999995</v>
      </c>
      <c r="L13" s="36">
        <v>0.57999999999999996</v>
      </c>
      <c r="M13" s="36">
        <v>0.6</v>
      </c>
      <c r="N13" s="36">
        <v>0.61</v>
      </c>
      <c r="O13" s="36">
        <v>0.63</v>
      </c>
      <c r="P13" s="36">
        <v>0.64</v>
      </c>
      <c r="Q13" s="36">
        <v>0.66</v>
      </c>
      <c r="R13" s="36">
        <v>0.68</v>
      </c>
      <c r="S13" s="36">
        <v>0.7</v>
      </c>
      <c r="T13" s="36">
        <v>0.72</v>
      </c>
      <c r="U13" s="36">
        <v>0.74</v>
      </c>
      <c r="V13" s="36">
        <v>0.76</v>
      </c>
      <c r="W13" s="36">
        <v>0.78</v>
      </c>
      <c r="X13" s="36">
        <v>0.8</v>
      </c>
      <c r="Y13" s="36">
        <v>0.82</v>
      </c>
      <c r="Z13" s="36">
        <v>0.83</v>
      </c>
      <c r="AA13" s="36">
        <v>0.85</v>
      </c>
      <c r="AB13" s="36">
        <v>0.87</v>
      </c>
      <c r="AC13" s="36">
        <v>0.89</v>
      </c>
      <c r="AD13" s="36">
        <v>0.91</v>
      </c>
      <c r="AE13" s="36">
        <v>0.93</v>
      </c>
      <c r="AF13" s="36">
        <v>1</v>
      </c>
      <c r="AG13" s="36">
        <v>1</v>
      </c>
      <c r="AH13" s="36">
        <v>1</v>
      </c>
      <c r="AI13" s="36">
        <v>1</v>
      </c>
    </row>
    <row r="14" spans="1:35" x14ac:dyDescent="0.2">
      <c r="A14" s="37"/>
      <c r="B14" s="9">
        <v>400</v>
      </c>
      <c r="C14" s="36">
        <v>0.4</v>
      </c>
      <c r="D14" s="36">
        <v>0.45</v>
      </c>
      <c r="E14" s="36">
        <v>0.45</v>
      </c>
      <c r="F14" s="36">
        <v>0.5</v>
      </c>
      <c r="G14" s="36">
        <v>0.51</v>
      </c>
      <c r="H14" s="36">
        <v>0.5</v>
      </c>
      <c r="I14" s="36">
        <v>0.52</v>
      </c>
      <c r="J14" s="36">
        <v>0.53</v>
      </c>
      <c r="K14" s="36">
        <v>0.56000000000000005</v>
      </c>
      <c r="L14" s="36">
        <v>0.56999999999999995</v>
      </c>
      <c r="M14" s="36">
        <v>0.59</v>
      </c>
      <c r="N14" s="36">
        <v>0.61</v>
      </c>
      <c r="O14" s="36">
        <v>0.63</v>
      </c>
      <c r="P14" s="36">
        <v>0.64</v>
      </c>
      <c r="Q14" s="36">
        <v>0.66</v>
      </c>
      <c r="R14" s="36">
        <v>0.68</v>
      </c>
      <c r="S14" s="36">
        <v>0.7</v>
      </c>
      <c r="T14" s="36">
        <v>0.72</v>
      </c>
      <c r="U14" s="36">
        <v>0.74</v>
      </c>
      <c r="V14" s="36">
        <v>0.76</v>
      </c>
      <c r="W14" s="36">
        <v>0.78</v>
      </c>
      <c r="X14" s="36">
        <v>0.8</v>
      </c>
      <c r="Y14" s="36">
        <v>0.82</v>
      </c>
      <c r="Z14" s="36">
        <v>0.83</v>
      </c>
      <c r="AA14" s="36">
        <v>0.85</v>
      </c>
      <c r="AB14" s="36">
        <v>0.87</v>
      </c>
      <c r="AC14" s="36">
        <v>0.89</v>
      </c>
      <c r="AD14" s="36">
        <v>0.91</v>
      </c>
      <c r="AE14" s="36">
        <v>0.93</v>
      </c>
      <c r="AF14" s="36">
        <v>1</v>
      </c>
      <c r="AG14" s="36">
        <v>1</v>
      </c>
      <c r="AH14" s="36">
        <v>1</v>
      </c>
      <c r="AI14" s="36">
        <v>1</v>
      </c>
    </row>
    <row r="15" spans="1:35" x14ac:dyDescent="0.2">
      <c r="A15" s="7" t="s">
        <v>1</v>
      </c>
      <c r="B15" s="9">
        <v>410</v>
      </c>
      <c r="C15" s="36">
        <v>0.4</v>
      </c>
      <c r="D15" s="36">
        <v>0.45</v>
      </c>
      <c r="E15" s="36">
        <v>0.45</v>
      </c>
      <c r="F15" s="36">
        <v>0.5</v>
      </c>
      <c r="G15" s="36">
        <v>0.51</v>
      </c>
      <c r="H15" s="36">
        <v>0.5</v>
      </c>
      <c r="I15" s="36">
        <v>0.52</v>
      </c>
      <c r="J15" s="36">
        <v>0.53</v>
      </c>
      <c r="K15" s="36">
        <v>0.56000000000000005</v>
      </c>
      <c r="L15" s="36">
        <v>0.56999999999999995</v>
      </c>
      <c r="M15" s="36">
        <v>0.59</v>
      </c>
      <c r="N15" s="36">
        <v>0.61</v>
      </c>
      <c r="O15" s="36">
        <v>0.63</v>
      </c>
      <c r="P15" s="36">
        <v>0.64</v>
      </c>
      <c r="Q15" s="36">
        <v>0.66</v>
      </c>
      <c r="R15" s="36">
        <v>0.68</v>
      </c>
      <c r="S15" s="36">
        <v>0.7</v>
      </c>
      <c r="T15" s="36">
        <v>0.72</v>
      </c>
      <c r="U15" s="36">
        <v>0.74</v>
      </c>
      <c r="V15" s="36">
        <v>0.76</v>
      </c>
      <c r="W15" s="36">
        <v>0.78</v>
      </c>
      <c r="X15" s="36">
        <v>0.8</v>
      </c>
      <c r="Y15" s="36">
        <v>0.82</v>
      </c>
      <c r="Z15" s="36">
        <v>0.83</v>
      </c>
      <c r="AA15" s="36">
        <v>0.85</v>
      </c>
      <c r="AB15" s="36">
        <v>0.87</v>
      </c>
      <c r="AC15" s="36">
        <v>0.89</v>
      </c>
      <c r="AD15" s="36">
        <v>0.91</v>
      </c>
      <c r="AE15" s="36">
        <v>0.93</v>
      </c>
      <c r="AF15" s="36">
        <v>1</v>
      </c>
      <c r="AG15" s="36">
        <v>1</v>
      </c>
      <c r="AH15" s="36">
        <v>1</v>
      </c>
      <c r="AI15" s="36">
        <v>1</v>
      </c>
    </row>
    <row r="16" spans="1:35" x14ac:dyDescent="0.2">
      <c r="A16" s="7"/>
      <c r="B16" s="9">
        <v>420</v>
      </c>
      <c r="C16" s="36">
        <v>0.38</v>
      </c>
      <c r="D16" s="36">
        <v>0.41</v>
      </c>
      <c r="E16" s="36">
        <v>0.43</v>
      </c>
      <c r="F16" s="36">
        <v>0.48</v>
      </c>
      <c r="G16" s="36">
        <v>0.5</v>
      </c>
      <c r="H16" s="36">
        <v>0.48</v>
      </c>
      <c r="I16" s="36">
        <v>0.5</v>
      </c>
      <c r="J16" s="36">
        <v>0.5</v>
      </c>
      <c r="K16" s="36">
        <v>0.53</v>
      </c>
      <c r="L16" s="36">
        <v>0.56999999999999995</v>
      </c>
      <c r="M16" s="36">
        <v>0.56999999999999995</v>
      </c>
      <c r="N16" s="36">
        <v>0.59</v>
      </c>
      <c r="O16" s="36">
        <v>0.61</v>
      </c>
      <c r="P16" s="36">
        <v>0.64</v>
      </c>
      <c r="Q16" s="36">
        <v>0.66</v>
      </c>
      <c r="R16" s="36">
        <v>0.68</v>
      </c>
      <c r="S16" s="36">
        <v>0.7</v>
      </c>
      <c r="T16" s="36">
        <v>0.72</v>
      </c>
      <c r="U16" s="36">
        <v>0.74</v>
      </c>
      <c r="V16" s="36">
        <v>0.76</v>
      </c>
      <c r="W16" s="36">
        <v>0.78</v>
      </c>
      <c r="X16" s="36">
        <v>0.8</v>
      </c>
      <c r="Y16" s="36">
        <v>0.82</v>
      </c>
      <c r="Z16" s="36">
        <v>0.83</v>
      </c>
      <c r="AA16" s="36">
        <v>0.85</v>
      </c>
      <c r="AB16" s="36">
        <v>0.87</v>
      </c>
      <c r="AC16" s="36">
        <v>0.89</v>
      </c>
      <c r="AD16" s="36">
        <v>0.91</v>
      </c>
      <c r="AE16" s="36">
        <v>0.93</v>
      </c>
      <c r="AF16" s="36">
        <v>1</v>
      </c>
      <c r="AG16" s="36">
        <v>1</v>
      </c>
      <c r="AH16" s="36">
        <v>1</v>
      </c>
      <c r="AI16" s="36">
        <v>1</v>
      </c>
    </row>
    <row r="17" spans="1:36" x14ac:dyDescent="0.2">
      <c r="A17" s="7"/>
      <c r="B17" s="38">
        <v>430</v>
      </c>
      <c r="C17" s="36">
        <v>0.36</v>
      </c>
      <c r="D17" s="36">
        <v>0.4</v>
      </c>
      <c r="E17" s="36">
        <v>0.41</v>
      </c>
      <c r="F17" s="36">
        <v>0.46</v>
      </c>
      <c r="G17" s="36">
        <v>0.48</v>
      </c>
      <c r="H17" s="36">
        <v>0.46</v>
      </c>
      <c r="I17" s="36">
        <v>0.48</v>
      </c>
      <c r="J17" s="36">
        <v>0.49</v>
      </c>
      <c r="K17" s="36">
        <v>0.51</v>
      </c>
      <c r="L17" s="36">
        <v>0.55000000000000004</v>
      </c>
      <c r="M17" s="36">
        <v>0.56999999999999995</v>
      </c>
      <c r="N17" s="36">
        <v>0.57999999999999996</v>
      </c>
      <c r="O17" s="36">
        <v>0.6</v>
      </c>
      <c r="P17" s="36">
        <v>0.63</v>
      </c>
      <c r="Q17" s="36">
        <v>0.66</v>
      </c>
      <c r="R17" s="36">
        <v>0.68</v>
      </c>
      <c r="S17" s="36">
        <v>0.7</v>
      </c>
      <c r="T17" s="36">
        <v>0.72</v>
      </c>
      <c r="U17" s="36">
        <v>0.74</v>
      </c>
      <c r="V17" s="36">
        <v>0.76</v>
      </c>
      <c r="W17" s="36">
        <v>0.78</v>
      </c>
      <c r="X17" s="36">
        <v>0.8</v>
      </c>
      <c r="Y17" s="36">
        <v>0.82</v>
      </c>
      <c r="Z17" s="36">
        <v>0.83</v>
      </c>
      <c r="AA17" s="36">
        <v>0.85</v>
      </c>
      <c r="AB17" s="36">
        <v>0.87</v>
      </c>
      <c r="AC17" s="36">
        <v>0.89</v>
      </c>
      <c r="AD17" s="36">
        <v>0.91</v>
      </c>
      <c r="AE17" s="36">
        <v>0.93</v>
      </c>
      <c r="AF17" s="36">
        <v>1</v>
      </c>
      <c r="AG17" s="36">
        <v>1</v>
      </c>
      <c r="AH17" s="36">
        <v>1</v>
      </c>
      <c r="AI17" s="36">
        <v>1</v>
      </c>
    </row>
    <row r="18" spans="1:36" x14ac:dyDescent="0.2">
      <c r="A18" s="7"/>
      <c r="B18" s="38">
        <v>440</v>
      </c>
      <c r="C18" s="36">
        <v>0.35</v>
      </c>
      <c r="D18" s="36">
        <v>0.39</v>
      </c>
      <c r="E18" s="36">
        <v>0.4</v>
      </c>
      <c r="F18" s="36">
        <v>0.45</v>
      </c>
      <c r="G18" s="36">
        <v>0.46</v>
      </c>
      <c r="H18" s="36">
        <v>0.45</v>
      </c>
      <c r="I18" s="36">
        <v>0.46</v>
      </c>
      <c r="J18" s="36">
        <v>0.49</v>
      </c>
      <c r="K18" s="36">
        <v>0.5</v>
      </c>
      <c r="L18" s="36">
        <v>0.54</v>
      </c>
      <c r="M18" s="36">
        <v>0.56999999999999995</v>
      </c>
      <c r="N18" s="36">
        <v>0.57999999999999996</v>
      </c>
      <c r="O18" s="36">
        <v>0.6</v>
      </c>
      <c r="P18" s="36">
        <v>0.63</v>
      </c>
      <c r="Q18" s="36">
        <v>0.66</v>
      </c>
      <c r="R18" s="36">
        <v>0.68</v>
      </c>
      <c r="S18" s="36">
        <v>0.7</v>
      </c>
      <c r="T18" s="36">
        <v>0.72</v>
      </c>
      <c r="U18" s="36">
        <v>0.74</v>
      </c>
      <c r="V18" s="36">
        <v>0.76</v>
      </c>
      <c r="W18" s="36">
        <v>0.78</v>
      </c>
      <c r="X18" s="36">
        <v>0.8</v>
      </c>
      <c r="Y18" s="36">
        <v>0.82</v>
      </c>
      <c r="Z18" s="36">
        <v>0.83</v>
      </c>
      <c r="AA18" s="36">
        <v>0.85</v>
      </c>
      <c r="AB18" s="36">
        <v>0.87</v>
      </c>
      <c r="AC18" s="36">
        <v>0.89</v>
      </c>
      <c r="AD18" s="36">
        <v>0.91</v>
      </c>
      <c r="AE18" s="36">
        <v>0.93</v>
      </c>
      <c r="AF18" s="36">
        <v>1</v>
      </c>
      <c r="AG18" s="36">
        <v>1</v>
      </c>
      <c r="AH18" s="36">
        <v>1</v>
      </c>
      <c r="AI18" s="36">
        <v>1</v>
      </c>
    </row>
    <row r="19" spans="1:36" x14ac:dyDescent="0.2">
      <c r="A19" s="7" t="s">
        <v>1</v>
      </c>
      <c r="B19" s="38">
        <v>450</v>
      </c>
      <c r="C19" s="36">
        <v>0.34</v>
      </c>
      <c r="D19" s="36">
        <v>0.38</v>
      </c>
      <c r="E19" s="36">
        <v>0.38</v>
      </c>
      <c r="F19" s="36">
        <v>0.44</v>
      </c>
      <c r="G19" s="36">
        <v>0.45</v>
      </c>
      <c r="H19" s="36">
        <v>0.43</v>
      </c>
      <c r="I19" s="36">
        <v>0.45</v>
      </c>
      <c r="J19" s="36">
        <v>0.48</v>
      </c>
      <c r="K19" s="36">
        <v>0.49</v>
      </c>
      <c r="L19" s="36">
        <v>0.53</v>
      </c>
      <c r="M19" s="36">
        <v>0.56000000000000005</v>
      </c>
      <c r="N19" s="36">
        <v>0.56999999999999995</v>
      </c>
      <c r="O19" s="36">
        <v>0.59</v>
      </c>
      <c r="P19" s="36">
        <v>0.62</v>
      </c>
      <c r="Q19" s="36">
        <v>0.65</v>
      </c>
      <c r="R19" s="36">
        <v>0.68</v>
      </c>
      <c r="S19" s="36">
        <v>0.7</v>
      </c>
      <c r="T19" s="36">
        <v>0.72</v>
      </c>
      <c r="U19" s="36">
        <v>0.74</v>
      </c>
      <c r="V19" s="36">
        <v>0.76</v>
      </c>
      <c r="W19" s="36">
        <v>0.78</v>
      </c>
      <c r="X19" s="36">
        <v>0.8</v>
      </c>
      <c r="Y19" s="36">
        <v>0.82</v>
      </c>
      <c r="Z19" s="36">
        <v>0.83</v>
      </c>
      <c r="AA19" s="36">
        <v>0.85</v>
      </c>
      <c r="AB19" s="36">
        <v>0.87</v>
      </c>
      <c r="AC19" s="36">
        <v>0.89</v>
      </c>
      <c r="AD19" s="36">
        <v>0.91</v>
      </c>
      <c r="AE19" s="36">
        <v>0.93</v>
      </c>
      <c r="AF19" s="36">
        <v>1</v>
      </c>
      <c r="AG19" s="36">
        <v>1</v>
      </c>
      <c r="AH19" s="36">
        <v>1</v>
      </c>
      <c r="AI19" s="36">
        <v>1</v>
      </c>
      <c r="AJ19" s="8"/>
    </row>
    <row r="20" spans="1:36" x14ac:dyDescent="0.2">
      <c r="A20" s="7" t="s">
        <v>1</v>
      </c>
      <c r="B20" s="38">
        <v>460</v>
      </c>
      <c r="C20" s="36">
        <v>0.31</v>
      </c>
      <c r="D20" s="36">
        <v>0.34</v>
      </c>
      <c r="E20" s="36">
        <v>0.36</v>
      </c>
      <c r="F20" s="36">
        <v>0.38</v>
      </c>
      <c r="G20" s="36">
        <v>0.4</v>
      </c>
      <c r="H20" s="36">
        <v>0.42</v>
      </c>
      <c r="I20" s="36">
        <v>0.44</v>
      </c>
      <c r="J20" s="36">
        <v>0.46</v>
      </c>
      <c r="K20" s="36">
        <v>0.48</v>
      </c>
      <c r="L20" s="36">
        <v>0.52</v>
      </c>
      <c r="M20" s="36">
        <v>0.55000000000000004</v>
      </c>
      <c r="N20" s="36">
        <v>0.56999999999999995</v>
      </c>
      <c r="O20" s="36">
        <v>0.59</v>
      </c>
      <c r="P20" s="36">
        <v>0.62</v>
      </c>
      <c r="Q20" s="36">
        <v>0.65</v>
      </c>
      <c r="R20" s="36">
        <v>0.68</v>
      </c>
      <c r="S20" s="36">
        <v>0.7</v>
      </c>
      <c r="T20" s="36">
        <v>0.72</v>
      </c>
      <c r="U20" s="36">
        <v>0.74</v>
      </c>
      <c r="V20" s="36">
        <v>0.76</v>
      </c>
      <c r="W20" s="36">
        <v>0.78</v>
      </c>
      <c r="X20" s="36">
        <v>0.8</v>
      </c>
      <c r="Y20" s="36">
        <v>0.82</v>
      </c>
      <c r="Z20" s="36">
        <v>0.83</v>
      </c>
      <c r="AA20" s="36">
        <v>0.85</v>
      </c>
      <c r="AB20" s="36">
        <v>0.87</v>
      </c>
      <c r="AC20" s="36">
        <v>0.89</v>
      </c>
      <c r="AD20" s="36">
        <v>0.91</v>
      </c>
      <c r="AE20" s="36">
        <v>0.93</v>
      </c>
      <c r="AF20" s="36">
        <v>1</v>
      </c>
      <c r="AG20" s="36">
        <v>1</v>
      </c>
      <c r="AH20" s="36">
        <v>1</v>
      </c>
      <c r="AI20" s="36">
        <v>1</v>
      </c>
      <c r="AJ20" s="8"/>
    </row>
    <row r="21" spans="1:36" x14ac:dyDescent="0.2">
      <c r="A21" s="7" t="s">
        <v>1</v>
      </c>
      <c r="B21" s="38">
        <v>470</v>
      </c>
      <c r="C21" s="36">
        <v>0.31</v>
      </c>
      <c r="D21" s="36">
        <v>0.34</v>
      </c>
      <c r="E21" s="36">
        <v>0.36</v>
      </c>
      <c r="F21" s="36">
        <v>0.38</v>
      </c>
      <c r="G21" s="36">
        <v>0.4</v>
      </c>
      <c r="H21" s="36">
        <v>0.42</v>
      </c>
      <c r="I21" s="36">
        <v>0.43</v>
      </c>
      <c r="J21" s="36">
        <v>0.45</v>
      </c>
      <c r="K21" s="36">
        <v>0.48</v>
      </c>
      <c r="L21" s="36">
        <v>0.52</v>
      </c>
      <c r="M21" s="36">
        <v>0.55000000000000004</v>
      </c>
      <c r="N21" s="36">
        <v>0.56999999999999995</v>
      </c>
      <c r="O21" s="36">
        <v>0.59</v>
      </c>
      <c r="P21" s="36">
        <v>0.62</v>
      </c>
      <c r="Q21" s="36">
        <v>0.65</v>
      </c>
      <c r="R21" s="36">
        <v>0.68</v>
      </c>
      <c r="S21" s="36">
        <v>0.7</v>
      </c>
      <c r="T21" s="36">
        <v>0.72</v>
      </c>
      <c r="U21" s="36">
        <v>0.74</v>
      </c>
      <c r="V21" s="36">
        <v>0.76</v>
      </c>
      <c r="W21" s="36">
        <v>0.78</v>
      </c>
      <c r="X21" s="36">
        <v>0.8</v>
      </c>
      <c r="Y21" s="36">
        <v>0.82</v>
      </c>
      <c r="Z21" s="36">
        <v>0.83</v>
      </c>
      <c r="AA21" s="36">
        <v>0.85</v>
      </c>
      <c r="AB21" s="36">
        <v>0.87</v>
      </c>
      <c r="AC21" s="36">
        <v>0.89</v>
      </c>
      <c r="AD21" s="36">
        <v>0.91</v>
      </c>
      <c r="AE21" s="36">
        <v>0.93</v>
      </c>
      <c r="AF21" s="36">
        <v>1</v>
      </c>
      <c r="AG21" s="36">
        <v>1</v>
      </c>
      <c r="AH21" s="36">
        <v>1</v>
      </c>
      <c r="AI21" s="36">
        <v>1</v>
      </c>
      <c r="AJ21" s="8"/>
    </row>
    <row r="22" spans="1:36" x14ac:dyDescent="0.2">
      <c r="A22" s="7" t="s">
        <v>1</v>
      </c>
      <c r="B22" s="38">
        <v>480</v>
      </c>
      <c r="C22" s="36">
        <v>0.28000000000000003</v>
      </c>
      <c r="D22" s="36">
        <v>0.31</v>
      </c>
      <c r="E22" s="36">
        <v>0.33</v>
      </c>
      <c r="F22" s="36">
        <v>0.34</v>
      </c>
      <c r="G22" s="36">
        <v>0.36</v>
      </c>
      <c r="H22" s="36">
        <v>0.39</v>
      </c>
      <c r="I22" s="36">
        <v>0.41</v>
      </c>
      <c r="J22" s="36">
        <v>0.44</v>
      </c>
      <c r="K22" s="36">
        <v>0.48</v>
      </c>
      <c r="L22" s="36">
        <v>0.5</v>
      </c>
      <c r="M22" s="36">
        <v>0.52</v>
      </c>
      <c r="N22" s="36">
        <v>0.55000000000000004</v>
      </c>
      <c r="O22" s="36">
        <v>0.57999999999999996</v>
      </c>
      <c r="P22" s="36">
        <v>0.62</v>
      </c>
      <c r="Q22" s="36">
        <v>0.65</v>
      </c>
      <c r="R22" s="36">
        <v>0.68</v>
      </c>
      <c r="S22" s="36">
        <v>0.7</v>
      </c>
      <c r="T22" s="36">
        <v>0.72</v>
      </c>
      <c r="U22" s="36">
        <v>0.74</v>
      </c>
      <c r="V22" s="36">
        <v>0.76</v>
      </c>
      <c r="W22" s="36">
        <v>0.78</v>
      </c>
      <c r="X22" s="36">
        <v>0.8</v>
      </c>
      <c r="Y22" s="36">
        <v>0.82</v>
      </c>
      <c r="Z22" s="36">
        <v>0.83</v>
      </c>
      <c r="AA22" s="36">
        <v>0.85</v>
      </c>
      <c r="AB22" s="36">
        <v>0.87</v>
      </c>
      <c r="AC22" s="36">
        <v>0.89</v>
      </c>
      <c r="AD22" s="36">
        <v>0.91</v>
      </c>
      <c r="AE22" s="36">
        <v>0.93</v>
      </c>
      <c r="AF22" s="36">
        <v>1</v>
      </c>
      <c r="AG22" s="36">
        <v>1</v>
      </c>
      <c r="AH22" s="36">
        <v>1</v>
      </c>
      <c r="AI22" s="36">
        <v>1</v>
      </c>
      <c r="AJ22" s="8"/>
    </row>
    <row r="23" spans="1:36" x14ac:dyDescent="0.2">
      <c r="A23" s="7" t="s">
        <v>1</v>
      </c>
      <c r="B23" s="38">
        <v>490</v>
      </c>
      <c r="C23" s="36">
        <v>0.27</v>
      </c>
      <c r="D23" s="36">
        <v>0.31</v>
      </c>
      <c r="E23" s="36">
        <v>0.33</v>
      </c>
      <c r="F23" s="36">
        <v>0.34</v>
      </c>
      <c r="G23" s="36">
        <v>0.36</v>
      </c>
      <c r="H23" s="36">
        <v>0.39</v>
      </c>
      <c r="I23" s="36">
        <v>0.41</v>
      </c>
      <c r="J23" s="36">
        <v>0.44</v>
      </c>
      <c r="K23" s="36">
        <v>0.48</v>
      </c>
      <c r="L23" s="36">
        <v>0.5</v>
      </c>
      <c r="M23" s="36">
        <v>0.52</v>
      </c>
      <c r="N23" s="36">
        <v>0.55000000000000004</v>
      </c>
      <c r="O23" s="36">
        <v>0.57999999999999996</v>
      </c>
      <c r="P23" s="36">
        <v>0.62</v>
      </c>
      <c r="Q23" s="36">
        <v>0.65</v>
      </c>
      <c r="R23" s="36">
        <v>0.68</v>
      </c>
      <c r="S23" s="36">
        <v>0.7</v>
      </c>
      <c r="T23" s="36">
        <v>0.72</v>
      </c>
      <c r="U23" s="36">
        <v>0.74</v>
      </c>
      <c r="V23" s="36">
        <v>0.76</v>
      </c>
      <c r="W23" s="36">
        <v>0.78</v>
      </c>
      <c r="X23" s="36">
        <v>0.8</v>
      </c>
      <c r="Y23" s="36">
        <v>0.82</v>
      </c>
      <c r="Z23" s="36">
        <v>0.83</v>
      </c>
      <c r="AA23" s="36">
        <v>0.85</v>
      </c>
      <c r="AB23" s="36">
        <v>0.87</v>
      </c>
      <c r="AC23" s="36">
        <v>0.89</v>
      </c>
      <c r="AD23" s="36">
        <v>0.91</v>
      </c>
      <c r="AE23" s="36">
        <v>0.93</v>
      </c>
      <c r="AF23" s="36">
        <v>1</v>
      </c>
      <c r="AG23" s="36">
        <v>1</v>
      </c>
      <c r="AH23" s="36">
        <v>1</v>
      </c>
      <c r="AI23" s="36">
        <v>1</v>
      </c>
      <c r="AJ23" s="8"/>
    </row>
    <row r="24" spans="1:36" x14ac:dyDescent="0.2">
      <c r="A24" s="7" t="s">
        <v>1</v>
      </c>
      <c r="B24" s="38">
        <v>500</v>
      </c>
      <c r="C24" s="36">
        <v>0.27</v>
      </c>
      <c r="D24" s="36">
        <v>0.3</v>
      </c>
      <c r="E24" s="36">
        <v>0.32</v>
      </c>
      <c r="F24" s="36">
        <v>0.34</v>
      </c>
      <c r="G24" s="36">
        <v>0.36</v>
      </c>
      <c r="H24" s="36">
        <v>0.39</v>
      </c>
      <c r="I24" s="36">
        <v>0.41</v>
      </c>
      <c r="J24" s="36">
        <v>0.44</v>
      </c>
      <c r="K24" s="36">
        <v>0.48</v>
      </c>
      <c r="L24" s="36">
        <v>0.5</v>
      </c>
      <c r="M24" s="36">
        <v>0.52</v>
      </c>
      <c r="N24" s="36">
        <v>0.55000000000000004</v>
      </c>
      <c r="O24" s="36">
        <v>0.57999999999999996</v>
      </c>
      <c r="P24" s="36">
        <v>0.62</v>
      </c>
      <c r="Q24" s="36">
        <v>0.65</v>
      </c>
      <c r="R24" s="36">
        <v>0.68</v>
      </c>
      <c r="S24" s="36">
        <v>0.7</v>
      </c>
      <c r="T24" s="36">
        <v>0.72</v>
      </c>
      <c r="U24" s="36">
        <v>0.74</v>
      </c>
      <c r="V24" s="36">
        <v>0.76</v>
      </c>
      <c r="W24" s="36">
        <v>0.78</v>
      </c>
      <c r="X24" s="36">
        <v>0.8</v>
      </c>
      <c r="Y24" s="36">
        <v>0.82</v>
      </c>
      <c r="Z24" s="36">
        <v>0.83</v>
      </c>
      <c r="AA24" s="36">
        <v>0.85</v>
      </c>
      <c r="AB24" s="36">
        <v>0.87</v>
      </c>
      <c r="AC24" s="36">
        <v>0.89</v>
      </c>
      <c r="AD24" s="36">
        <v>0.91</v>
      </c>
      <c r="AE24" s="36">
        <v>0.93</v>
      </c>
      <c r="AF24" s="36">
        <v>1</v>
      </c>
      <c r="AG24" s="36">
        <v>1</v>
      </c>
      <c r="AH24" s="36">
        <v>1</v>
      </c>
      <c r="AI24" s="36">
        <v>1</v>
      </c>
      <c r="AJ24" s="8"/>
    </row>
    <row r="25" spans="1:36" x14ac:dyDescent="0.2">
      <c r="A25" s="7" t="s">
        <v>1</v>
      </c>
      <c r="B25" s="38">
        <v>510</v>
      </c>
      <c r="C25" s="36">
        <v>0.26</v>
      </c>
      <c r="D25" s="36">
        <v>0.28999999999999998</v>
      </c>
      <c r="E25" s="36">
        <v>0.32</v>
      </c>
      <c r="F25" s="36">
        <v>0.34</v>
      </c>
      <c r="G25" s="36">
        <v>0.36</v>
      </c>
      <c r="H25" s="36">
        <v>0.39</v>
      </c>
      <c r="I25" s="36">
        <v>0.41</v>
      </c>
      <c r="J25" s="36">
        <v>0.44</v>
      </c>
      <c r="K25" s="36">
        <v>0.48</v>
      </c>
      <c r="L25" s="36">
        <v>0.5</v>
      </c>
      <c r="M25" s="36">
        <v>0.52</v>
      </c>
      <c r="N25" s="36">
        <v>0.55000000000000004</v>
      </c>
      <c r="O25" s="36">
        <v>0.57999999999999996</v>
      </c>
      <c r="P25" s="36">
        <v>0.62</v>
      </c>
      <c r="Q25" s="36">
        <v>0.65</v>
      </c>
      <c r="R25" s="36">
        <v>0.68</v>
      </c>
      <c r="S25" s="36">
        <v>0.7</v>
      </c>
      <c r="T25" s="36">
        <v>0.72</v>
      </c>
      <c r="U25" s="36">
        <v>0.74</v>
      </c>
      <c r="V25" s="36">
        <v>0.76</v>
      </c>
      <c r="W25" s="36">
        <v>0.78</v>
      </c>
      <c r="X25" s="36">
        <v>0.8</v>
      </c>
      <c r="Y25" s="36">
        <v>0.82</v>
      </c>
      <c r="Z25" s="36">
        <v>0.83</v>
      </c>
      <c r="AA25" s="36">
        <v>0.85</v>
      </c>
      <c r="AB25" s="36">
        <v>0.87</v>
      </c>
      <c r="AC25" s="36">
        <v>0.89</v>
      </c>
      <c r="AD25" s="36">
        <v>0.91</v>
      </c>
      <c r="AE25" s="36">
        <v>0.93</v>
      </c>
      <c r="AF25" s="36">
        <v>1</v>
      </c>
      <c r="AG25" s="36">
        <v>1</v>
      </c>
      <c r="AH25" s="36">
        <v>1</v>
      </c>
      <c r="AI25" s="36">
        <v>1</v>
      </c>
      <c r="AJ25" s="8"/>
    </row>
    <row r="26" spans="1:36" x14ac:dyDescent="0.2">
      <c r="A26" s="7" t="s">
        <v>1</v>
      </c>
      <c r="B26" s="38">
        <v>530</v>
      </c>
      <c r="C26" s="36">
        <v>0.25</v>
      </c>
      <c r="D26" s="36">
        <v>0.28000000000000003</v>
      </c>
      <c r="E26" s="36">
        <v>0.31</v>
      </c>
      <c r="F26" s="36">
        <v>0.33</v>
      </c>
      <c r="G26" s="36">
        <v>0.35</v>
      </c>
      <c r="H26" s="36">
        <v>0.38</v>
      </c>
      <c r="I26" s="36">
        <v>0.41</v>
      </c>
      <c r="J26" s="36">
        <v>0.44</v>
      </c>
      <c r="K26" s="36">
        <v>0.47</v>
      </c>
      <c r="L26" s="36">
        <v>0.49</v>
      </c>
      <c r="M26" s="36">
        <v>0.52</v>
      </c>
      <c r="N26" s="36">
        <v>0.54</v>
      </c>
      <c r="O26" s="36">
        <v>0.57999999999999996</v>
      </c>
      <c r="P26" s="36">
        <v>0.61</v>
      </c>
      <c r="Q26" s="36">
        <v>0.64</v>
      </c>
      <c r="R26" s="36">
        <v>0.67</v>
      </c>
      <c r="S26" s="36">
        <v>0.69</v>
      </c>
      <c r="T26" s="36">
        <v>0.71</v>
      </c>
      <c r="U26" s="36">
        <v>0.73</v>
      </c>
      <c r="V26" s="36">
        <v>0.75</v>
      </c>
      <c r="W26" s="36">
        <v>0.77</v>
      </c>
      <c r="X26" s="36">
        <v>0.79</v>
      </c>
      <c r="Y26" s="36">
        <v>0.81</v>
      </c>
      <c r="Z26" s="36">
        <v>0.82</v>
      </c>
      <c r="AA26" s="36">
        <v>0.84</v>
      </c>
      <c r="AB26" s="36">
        <v>0.86</v>
      </c>
      <c r="AC26" s="36">
        <v>0.88</v>
      </c>
      <c r="AD26" s="36">
        <v>0.9</v>
      </c>
      <c r="AE26" s="36">
        <v>0.92</v>
      </c>
      <c r="AF26" s="36">
        <v>1</v>
      </c>
      <c r="AG26" s="36">
        <v>1</v>
      </c>
      <c r="AH26" s="36">
        <v>1</v>
      </c>
      <c r="AI26" s="36">
        <v>1</v>
      </c>
      <c r="AJ26" s="8"/>
    </row>
    <row r="27" spans="1:36" x14ac:dyDescent="0.2">
      <c r="A27" s="7" t="s">
        <v>1</v>
      </c>
      <c r="B27" s="38">
        <v>550</v>
      </c>
      <c r="C27" s="36">
        <v>0.24</v>
      </c>
      <c r="D27" s="36">
        <v>0.27</v>
      </c>
      <c r="E27" s="36">
        <v>0.31</v>
      </c>
      <c r="F27" s="36">
        <v>0.33</v>
      </c>
      <c r="G27" s="36">
        <v>0.35</v>
      </c>
      <c r="H27" s="36">
        <v>0.38</v>
      </c>
      <c r="I27" s="36">
        <v>0.41</v>
      </c>
      <c r="J27" s="36">
        <v>0.44</v>
      </c>
      <c r="K27" s="36">
        <v>0.47</v>
      </c>
      <c r="L27" s="36">
        <v>0.49</v>
      </c>
      <c r="M27" s="36">
        <v>0.51</v>
      </c>
      <c r="N27" s="36">
        <v>0.54</v>
      </c>
      <c r="O27" s="36">
        <v>0.57999999999999996</v>
      </c>
      <c r="P27" s="36">
        <v>0.61</v>
      </c>
      <c r="Q27" s="36">
        <v>0.64</v>
      </c>
      <c r="R27" s="36">
        <v>0.67</v>
      </c>
      <c r="S27" s="36">
        <v>0.69</v>
      </c>
      <c r="T27" s="36">
        <v>0.71</v>
      </c>
      <c r="U27" s="36">
        <v>0.73</v>
      </c>
      <c r="V27" s="36">
        <v>0.75</v>
      </c>
      <c r="W27" s="36">
        <v>0.77</v>
      </c>
      <c r="X27" s="36">
        <v>0.79</v>
      </c>
      <c r="Y27" s="36">
        <v>0.81</v>
      </c>
      <c r="Z27" s="36">
        <v>0.82</v>
      </c>
      <c r="AA27" s="36">
        <v>0.84</v>
      </c>
      <c r="AB27" s="36">
        <v>0.86</v>
      </c>
      <c r="AC27" s="36">
        <v>0.88</v>
      </c>
      <c r="AD27" s="36">
        <v>0.9</v>
      </c>
      <c r="AE27" s="36">
        <v>0.92</v>
      </c>
      <c r="AF27" s="36">
        <v>1</v>
      </c>
      <c r="AG27" s="36">
        <v>1</v>
      </c>
      <c r="AH27" s="36">
        <v>1</v>
      </c>
      <c r="AI27" s="36">
        <v>1</v>
      </c>
      <c r="AJ27" s="8"/>
    </row>
    <row r="28" spans="1:36" x14ac:dyDescent="0.2">
      <c r="A28" s="7" t="s">
        <v>1</v>
      </c>
      <c r="B28" s="38">
        <v>570</v>
      </c>
      <c r="C28" s="36">
        <v>0.24</v>
      </c>
      <c r="D28" s="36">
        <v>0.27</v>
      </c>
      <c r="E28" s="36">
        <v>0.31</v>
      </c>
      <c r="F28" s="36">
        <v>0.33</v>
      </c>
      <c r="G28" s="36">
        <v>0.35</v>
      </c>
      <c r="H28" s="36">
        <v>0.38</v>
      </c>
      <c r="I28" s="36">
        <v>0.41</v>
      </c>
      <c r="J28" s="36">
        <v>0.44</v>
      </c>
      <c r="K28" s="36">
        <v>0.47</v>
      </c>
      <c r="L28" s="36">
        <v>0.49</v>
      </c>
      <c r="M28" s="36">
        <v>0.51</v>
      </c>
      <c r="N28" s="36">
        <v>0.54</v>
      </c>
      <c r="O28" s="36">
        <v>0.57999999999999996</v>
      </c>
      <c r="P28" s="36">
        <v>0.61</v>
      </c>
      <c r="Q28" s="36">
        <v>0.64</v>
      </c>
      <c r="R28" s="36">
        <v>0.67</v>
      </c>
      <c r="S28" s="36">
        <v>0.69</v>
      </c>
      <c r="T28" s="36">
        <v>0.71</v>
      </c>
      <c r="U28" s="36">
        <v>0.73</v>
      </c>
      <c r="V28" s="36">
        <v>0.75</v>
      </c>
      <c r="W28" s="36">
        <v>0.77</v>
      </c>
      <c r="X28" s="36">
        <v>0.79</v>
      </c>
      <c r="Y28" s="36">
        <v>0.81</v>
      </c>
      <c r="Z28" s="36">
        <v>0.82</v>
      </c>
      <c r="AA28" s="36">
        <v>0.84</v>
      </c>
      <c r="AB28" s="36">
        <v>0.86</v>
      </c>
      <c r="AC28" s="36">
        <v>0.88</v>
      </c>
      <c r="AD28" s="36">
        <v>0.9</v>
      </c>
      <c r="AE28" s="36">
        <v>0.92</v>
      </c>
      <c r="AF28" s="36">
        <v>1</v>
      </c>
      <c r="AG28" s="36">
        <v>1</v>
      </c>
      <c r="AH28" s="36">
        <v>1</v>
      </c>
      <c r="AI28" s="36">
        <v>1</v>
      </c>
      <c r="AJ28" s="8"/>
    </row>
    <row r="29" spans="1:36" x14ac:dyDescent="0.2">
      <c r="A29" s="7" t="s">
        <v>1</v>
      </c>
      <c r="B29" s="38">
        <v>590</v>
      </c>
      <c r="C29" s="36">
        <v>0.23</v>
      </c>
      <c r="D29" s="36">
        <v>0.27</v>
      </c>
      <c r="E29" s="36">
        <v>0.31</v>
      </c>
      <c r="F29" s="36">
        <v>0.33</v>
      </c>
      <c r="G29" s="36">
        <v>0.35</v>
      </c>
      <c r="H29" s="36">
        <v>0.38</v>
      </c>
      <c r="I29" s="36">
        <v>0.41</v>
      </c>
      <c r="J29" s="36">
        <v>0.44</v>
      </c>
      <c r="K29" s="36">
        <v>0.47</v>
      </c>
      <c r="L29" s="36">
        <v>0.49</v>
      </c>
      <c r="M29" s="36">
        <v>0.51</v>
      </c>
      <c r="N29" s="36">
        <v>0.54</v>
      </c>
      <c r="O29" s="36">
        <v>0.57999999999999996</v>
      </c>
      <c r="P29" s="36">
        <v>0.61</v>
      </c>
      <c r="Q29" s="36">
        <v>0.64</v>
      </c>
      <c r="R29" s="36">
        <v>0.67</v>
      </c>
      <c r="S29" s="36">
        <v>0.69</v>
      </c>
      <c r="T29" s="36">
        <v>0.71</v>
      </c>
      <c r="U29" s="36">
        <v>0.73</v>
      </c>
      <c r="V29" s="36">
        <v>0.75</v>
      </c>
      <c r="W29" s="36">
        <v>0.77</v>
      </c>
      <c r="X29" s="36">
        <v>0.79</v>
      </c>
      <c r="Y29" s="36">
        <v>0.81</v>
      </c>
      <c r="Z29" s="36">
        <v>0.82</v>
      </c>
      <c r="AA29" s="36">
        <v>0.84</v>
      </c>
      <c r="AB29" s="36">
        <v>0.86</v>
      </c>
      <c r="AC29" s="36">
        <v>0.88</v>
      </c>
      <c r="AD29" s="36">
        <v>0.9</v>
      </c>
      <c r="AE29" s="36">
        <v>0.92</v>
      </c>
      <c r="AF29" s="36">
        <v>1</v>
      </c>
      <c r="AG29" s="36">
        <v>1</v>
      </c>
      <c r="AH29" s="36">
        <v>1</v>
      </c>
      <c r="AI29" s="36">
        <v>1</v>
      </c>
      <c r="AJ29" s="8"/>
    </row>
    <row r="30" spans="1:36" x14ac:dyDescent="0.2">
      <c r="A30" s="7" t="s">
        <v>1</v>
      </c>
      <c r="B30" s="38">
        <v>610</v>
      </c>
      <c r="C30" s="36">
        <v>0.22</v>
      </c>
      <c r="D30" s="36">
        <v>0.26</v>
      </c>
      <c r="E30" s="36">
        <v>0.31</v>
      </c>
      <c r="F30" s="36">
        <v>0.33</v>
      </c>
      <c r="G30" s="36">
        <v>0.35</v>
      </c>
      <c r="H30" s="36">
        <v>0.38</v>
      </c>
      <c r="I30" s="36">
        <v>0.41</v>
      </c>
      <c r="J30" s="36">
        <v>0.44</v>
      </c>
      <c r="K30" s="36">
        <v>0.47</v>
      </c>
      <c r="L30" s="36">
        <v>0.49</v>
      </c>
      <c r="M30" s="36">
        <v>0.51</v>
      </c>
      <c r="N30" s="36">
        <v>0.54</v>
      </c>
      <c r="O30" s="36">
        <v>0.56999999999999995</v>
      </c>
      <c r="P30" s="36">
        <v>0.61</v>
      </c>
      <c r="Q30" s="36">
        <v>0.64</v>
      </c>
      <c r="R30" s="36">
        <v>0.67</v>
      </c>
      <c r="S30" s="36">
        <v>0.69</v>
      </c>
      <c r="T30" s="36">
        <v>0.71</v>
      </c>
      <c r="U30" s="36">
        <v>0.73</v>
      </c>
      <c r="V30" s="36">
        <v>0.75</v>
      </c>
      <c r="W30" s="36">
        <v>0.77</v>
      </c>
      <c r="X30" s="36">
        <v>0.79</v>
      </c>
      <c r="Y30" s="36">
        <v>0.81</v>
      </c>
      <c r="Z30" s="36">
        <v>0.82</v>
      </c>
      <c r="AA30" s="36">
        <v>0.84</v>
      </c>
      <c r="AB30" s="36">
        <v>0.86</v>
      </c>
      <c r="AC30" s="36">
        <v>0.88</v>
      </c>
      <c r="AD30" s="36">
        <v>0.9</v>
      </c>
      <c r="AE30" s="36">
        <v>0.92</v>
      </c>
      <c r="AF30" s="36">
        <v>1</v>
      </c>
      <c r="AG30" s="36">
        <v>1</v>
      </c>
      <c r="AH30" s="36">
        <v>1</v>
      </c>
      <c r="AI30" s="36">
        <v>1</v>
      </c>
      <c r="AJ30" s="8"/>
    </row>
    <row r="31" spans="1:36" x14ac:dyDescent="0.2">
      <c r="A31" s="7" t="s">
        <v>1</v>
      </c>
      <c r="B31" s="38">
        <v>630</v>
      </c>
      <c r="C31" s="36">
        <v>0.22</v>
      </c>
      <c r="D31" s="36">
        <v>0.26</v>
      </c>
      <c r="E31" s="36">
        <v>0.31</v>
      </c>
      <c r="F31" s="36">
        <v>0.33</v>
      </c>
      <c r="G31" s="36">
        <v>0.35</v>
      </c>
      <c r="H31" s="36">
        <v>0.38</v>
      </c>
      <c r="I31" s="36">
        <v>0.41</v>
      </c>
      <c r="J31" s="36">
        <v>0.44</v>
      </c>
      <c r="K31" s="36">
        <v>0.47</v>
      </c>
      <c r="L31" s="36">
        <v>0.49</v>
      </c>
      <c r="M31" s="36">
        <v>0.51</v>
      </c>
      <c r="N31" s="36">
        <v>0.54</v>
      </c>
      <c r="O31" s="36">
        <v>0.56999999999999995</v>
      </c>
      <c r="P31" s="36">
        <v>0.61</v>
      </c>
      <c r="Q31" s="36">
        <v>0.64</v>
      </c>
      <c r="R31" s="36">
        <v>0.67</v>
      </c>
      <c r="S31" s="36">
        <v>0.69</v>
      </c>
      <c r="T31" s="36">
        <v>0.71</v>
      </c>
      <c r="U31" s="36">
        <v>0.73</v>
      </c>
      <c r="V31" s="36">
        <v>0.75</v>
      </c>
      <c r="W31" s="36">
        <v>0.77</v>
      </c>
      <c r="X31" s="36">
        <v>0.79</v>
      </c>
      <c r="Y31" s="36">
        <v>0.81</v>
      </c>
      <c r="Z31" s="36">
        <v>0.82</v>
      </c>
      <c r="AA31" s="36">
        <v>0.84</v>
      </c>
      <c r="AB31" s="36">
        <v>0.86</v>
      </c>
      <c r="AC31" s="36">
        <v>0.88</v>
      </c>
      <c r="AD31" s="36">
        <v>0.9</v>
      </c>
      <c r="AE31" s="36">
        <v>0.92</v>
      </c>
      <c r="AF31" s="36">
        <v>1</v>
      </c>
      <c r="AG31" s="36">
        <v>1</v>
      </c>
      <c r="AH31" s="36">
        <v>1</v>
      </c>
      <c r="AI31" s="36">
        <v>1</v>
      </c>
      <c r="AJ31" s="8"/>
    </row>
    <row r="32" spans="1:36" x14ac:dyDescent="0.2">
      <c r="A32" s="7" t="s">
        <v>1</v>
      </c>
      <c r="B32" s="38">
        <v>650</v>
      </c>
      <c r="C32" s="36">
        <v>0.21</v>
      </c>
      <c r="D32" s="36">
        <v>0.26</v>
      </c>
      <c r="E32" s="36">
        <v>0.31</v>
      </c>
      <c r="F32" s="36">
        <v>0.33</v>
      </c>
      <c r="G32" s="36">
        <v>0.35</v>
      </c>
      <c r="H32" s="36">
        <v>0.38</v>
      </c>
      <c r="I32" s="36">
        <v>0.4</v>
      </c>
      <c r="J32" s="36">
        <v>0.44</v>
      </c>
      <c r="K32" s="36">
        <v>0.47</v>
      </c>
      <c r="L32" s="36">
        <v>0.49</v>
      </c>
      <c r="M32" s="36">
        <v>0.51</v>
      </c>
      <c r="N32" s="36">
        <v>0.54</v>
      </c>
      <c r="O32" s="36">
        <v>0.56999999999999995</v>
      </c>
      <c r="P32" s="36">
        <v>0.61</v>
      </c>
      <c r="Q32" s="36">
        <v>0.64</v>
      </c>
      <c r="R32" s="36">
        <v>0.67</v>
      </c>
      <c r="S32" s="36">
        <v>0.69</v>
      </c>
      <c r="T32" s="36">
        <v>0.71</v>
      </c>
      <c r="U32" s="36">
        <v>0.73</v>
      </c>
      <c r="V32" s="36">
        <v>0.75</v>
      </c>
      <c r="W32" s="36">
        <v>0.77</v>
      </c>
      <c r="X32" s="36">
        <v>0.79</v>
      </c>
      <c r="Y32" s="36">
        <v>0.81</v>
      </c>
      <c r="Z32" s="36">
        <v>0.82</v>
      </c>
      <c r="AA32" s="36">
        <v>0.84</v>
      </c>
      <c r="AB32" s="36">
        <v>0.86</v>
      </c>
      <c r="AC32" s="36">
        <v>0.88</v>
      </c>
      <c r="AD32" s="36">
        <v>0.9</v>
      </c>
      <c r="AE32" s="36">
        <v>0.92</v>
      </c>
      <c r="AF32" s="36">
        <v>1</v>
      </c>
      <c r="AG32" s="36">
        <v>1</v>
      </c>
      <c r="AH32" s="36">
        <v>1</v>
      </c>
      <c r="AI32" s="36">
        <v>1</v>
      </c>
      <c r="AJ32" s="8"/>
    </row>
    <row r="33" spans="1:36" x14ac:dyDescent="0.2">
      <c r="A33" s="7" t="s">
        <v>1</v>
      </c>
      <c r="B33" s="38">
        <v>670</v>
      </c>
      <c r="C33" s="36">
        <v>0.21</v>
      </c>
      <c r="D33" s="36">
        <v>0.26</v>
      </c>
      <c r="E33" s="36">
        <v>0.3</v>
      </c>
      <c r="F33" s="36">
        <v>0.32</v>
      </c>
      <c r="G33" s="36">
        <v>0.34</v>
      </c>
      <c r="H33" s="36">
        <v>0.38</v>
      </c>
      <c r="I33" s="36">
        <v>0.4</v>
      </c>
      <c r="J33" s="36">
        <v>0.44</v>
      </c>
      <c r="K33" s="36">
        <v>0.47</v>
      </c>
      <c r="L33" s="36">
        <v>0.49</v>
      </c>
      <c r="M33" s="36">
        <v>0.51</v>
      </c>
      <c r="N33" s="36">
        <v>0.54</v>
      </c>
      <c r="O33" s="36">
        <v>0.56999999999999995</v>
      </c>
      <c r="P33" s="36">
        <v>0.61</v>
      </c>
      <c r="Q33" s="36">
        <v>0.64</v>
      </c>
      <c r="R33" s="36">
        <v>0.67</v>
      </c>
      <c r="S33" s="36">
        <v>0.69</v>
      </c>
      <c r="T33" s="36">
        <v>0.71</v>
      </c>
      <c r="U33" s="36">
        <v>0.73</v>
      </c>
      <c r="V33" s="36">
        <v>0.75</v>
      </c>
      <c r="W33" s="36">
        <v>0.77</v>
      </c>
      <c r="X33" s="36">
        <v>0.79</v>
      </c>
      <c r="Y33" s="36">
        <v>0.81</v>
      </c>
      <c r="Z33" s="36">
        <v>0.82</v>
      </c>
      <c r="AA33" s="36">
        <v>0.84</v>
      </c>
      <c r="AB33" s="36">
        <v>0.86</v>
      </c>
      <c r="AC33" s="36">
        <v>0.88</v>
      </c>
      <c r="AD33" s="36">
        <v>0.9</v>
      </c>
      <c r="AE33" s="36">
        <v>0.92</v>
      </c>
      <c r="AF33" s="36">
        <v>1</v>
      </c>
      <c r="AG33" s="36">
        <v>1</v>
      </c>
      <c r="AH33" s="36">
        <v>1</v>
      </c>
      <c r="AI33" s="36">
        <v>1</v>
      </c>
      <c r="AJ33" s="8"/>
    </row>
    <row r="34" spans="1:36" x14ac:dyDescent="0.2">
      <c r="A34" s="7" t="s">
        <v>1</v>
      </c>
      <c r="B34" s="38">
        <v>690</v>
      </c>
      <c r="C34" s="36">
        <v>0.2</v>
      </c>
      <c r="D34" s="36">
        <v>0.26</v>
      </c>
      <c r="E34" s="36">
        <v>0.3</v>
      </c>
      <c r="F34" s="36">
        <v>0.32</v>
      </c>
      <c r="G34" s="36">
        <v>0.34</v>
      </c>
      <c r="H34" s="36">
        <v>0.38</v>
      </c>
      <c r="I34" s="36">
        <v>0.4</v>
      </c>
      <c r="J34" s="36">
        <v>0.44</v>
      </c>
      <c r="K34" s="36">
        <v>0.47</v>
      </c>
      <c r="L34" s="36">
        <v>0.49</v>
      </c>
      <c r="M34" s="36">
        <v>0.51</v>
      </c>
      <c r="N34" s="36">
        <v>0.54</v>
      </c>
      <c r="O34" s="36">
        <v>0.56999999999999995</v>
      </c>
      <c r="P34" s="36">
        <v>0.61</v>
      </c>
      <c r="Q34" s="36">
        <v>0.64</v>
      </c>
      <c r="R34" s="36">
        <v>0.67</v>
      </c>
      <c r="S34" s="36">
        <v>0.69</v>
      </c>
      <c r="T34" s="36">
        <v>0.71</v>
      </c>
      <c r="U34" s="36">
        <v>0.73</v>
      </c>
      <c r="V34" s="36">
        <v>0.75</v>
      </c>
      <c r="W34" s="36">
        <v>0.77</v>
      </c>
      <c r="X34" s="36">
        <v>0.79</v>
      </c>
      <c r="Y34" s="36">
        <v>0.81</v>
      </c>
      <c r="Z34" s="36">
        <v>0.82</v>
      </c>
      <c r="AA34" s="36">
        <v>0.84</v>
      </c>
      <c r="AB34" s="36">
        <v>0.86</v>
      </c>
      <c r="AC34" s="36">
        <v>0.88</v>
      </c>
      <c r="AD34" s="36">
        <v>0.9</v>
      </c>
      <c r="AE34" s="36">
        <v>0.92</v>
      </c>
      <c r="AF34" s="36">
        <v>1</v>
      </c>
      <c r="AG34" s="36">
        <v>1</v>
      </c>
      <c r="AH34" s="36">
        <v>1</v>
      </c>
      <c r="AI34" s="36">
        <v>1</v>
      </c>
      <c r="AJ34" s="8"/>
    </row>
    <row r="35" spans="1:36" x14ac:dyDescent="0.2">
      <c r="A35" s="7" t="s">
        <v>1</v>
      </c>
      <c r="B35" s="38">
        <f>B34+20</f>
        <v>710</v>
      </c>
      <c r="C35" s="36">
        <v>0.19</v>
      </c>
      <c r="D35" s="36">
        <v>0.25</v>
      </c>
      <c r="E35" s="36">
        <v>0.3</v>
      </c>
      <c r="F35" s="36">
        <v>0.32</v>
      </c>
      <c r="G35" s="36">
        <v>0.34</v>
      </c>
      <c r="H35" s="36">
        <v>0.38</v>
      </c>
      <c r="I35" s="36">
        <v>0.4</v>
      </c>
      <c r="J35" s="36">
        <v>0.44</v>
      </c>
      <c r="K35" s="36">
        <v>0.47</v>
      </c>
      <c r="L35" s="36">
        <v>0.49</v>
      </c>
      <c r="M35" s="36">
        <v>0.51</v>
      </c>
      <c r="N35" s="36">
        <v>0.54</v>
      </c>
      <c r="O35" s="36">
        <v>0.56999999999999995</v>
      </c>
      <c r="P35" s="36">
        <v>0.61</v>
      </c>
      <c r="Q35" s="36">
        <v>0.64</v>
      </c>
      <c r="R35" s="36">
        <v>0.67</v>
      </c>
      <c r="S35" s="36">
        <v>0.69</v>
      </c>
      <c r="T35" s="36">
        <v>0.71</v>
      </c>
      <c r="U35" s="36">
        <v>0.73</v>
      </c>
      <c r="V35" s="36">
        <v>0.75</v>
      </c>
      <c r="W35" s="36">
        <v>0.77</v>
      </c>
      <c r="X35" s="36">
        <v>0.79</v>
      </c>
      <c r="Y35" s="36">
        <v>0.81</v>
      </c>
      <c r="Z35" s="36">
        <v>0.82</v>
      </c>
      <c r="AA35" s="36">
        <v>0.84</v>
      </c>
      <c r="AB35" s="36">
        <v>0.86</v>
      </c>
      <c r="AC35" s="36">
        <v>0.88</v>
      </c>
      <c r="AD35" s="36">
        <v>0.9</v>
      </c>
      <c r="AE35" s="36">
        <v>0.92</v>
      </c>
      <c r="AF35" s="36">
        <v>1</v>
      </c>
      <c r="AG35" s="36">
        <v>1</v>
      </c>
      <c r="AH35" s="36">
        <v>1</v>
      </c>
      <c r="AI35" s="36">
        <v>1</v>
      </c>
      <c r="AJ35" s="8"/>
    </row>
    <row r="36" spans="1:36" x14ac:dyDescent="0.2">
      <c r="A36" s="7" t="s">
        <v>1</v>
      </c>
      <c r="B36" s="38">
        <v>730</v>
      </c>
      <c r="C36" s="36">
        <v>0.19</v>
      </c>
      <c r="D36" s="36">
        <v>0.25</v>
      </c>
      <c r="E36" s="36">
        <v>0.3</v>
      </c>
      <c r="F36" s="36">
        <v>0.32</v>
      </c>
      <c r="G36" s="36">
        <v>0.34</v>
      </c>
      <c r="H36" s="36">
        <v>0.38</v>
      </c>
      <c r="I36" s="36">
        <v>0.4</v>
      </c>
      <c r="J36" s="36">
        <v>0.44</v>
      </c>
      <c r="K36" s="36">
        <v>0.47</v>
      </c>
      <c r="L36" s="36">
        <v>0.49</v>
      </c>
      <c r="M36" s="36">
        <v>0.5</v>
      </c>
      <c r="N36" s="36">
        <v>0.54</v>
      </c>
      <c r="O36" s="36">
        <v>0.56999999999999995</v>
      </c>
      <c r="P36" s="36">
        <v>0.61</v>
      </c>
      <c r="Q36" s="36">
        <v>0.64</v>
      </c>
      <c r="R36" s="36">
        <v>0.67</v>
      </c>
      <c r="S36" s="36">
        <v>0.69</v>
      </c>
      <c r="T36" s="36">
        <v>0.71</v>
      </c>
      <c r="U36" s="36">
        <v>0.73</v>
      </c>
      <c r="V36" s="36">
        <v>0.75</v>
      </c>
      <c r="W36" s="36">
        <v>0.77</v>
      </c>
      <c r="X36" s="36">
        <v>0.79</v>
      </c>
      <c r="Y36" s="36">
        <v>0.81</v>
      </c>
      <c r="Z36" s="36">
        <v>0.82</v>
      </c>
      <c r="AA36" s="36">
        <v>0.84</v>
      </c>
      <c r="AB36" s="36">
        <v>0.86</v>
      </c>
      <c r="AC36" s="36">
        <v>0.88</v>
      </c>
      <c r="AD36" s="36">
        <v>0.9</v>
      </c>
      <c r="AE36" s="36">
        <v>0.92</v>
      </c>
      <c r="AF36" s="36">
        <v>1</v>
      </c>
      <c r="AG36" s="36">
        <v>1</v>
      </c>
      <c r="AH36" s="36">
        <v>1</v>
      </c>
      <c r="AI36" s="36">
        <v>1</v>
      </c>
      <c r="AJ36" s="8"/>
    </row>
    <row r="37" spans="1:36" x14ac:dyDescent="0.2">
      <c r="A37" s="7" t="s">
        <v>1</v>
      </c>
      <c r="B37" s="38">
        <v>750</v>
      </c>
      <c r="C37" s="36">
        <v>0.19</v>
      </c>
      <c r="D37" s="36">
        <v>0.25</v>
      </c>
      <c r="E37" s="36">
        <v>0.3</v>
      </c>
      <c r="F37" s="36">
        <v>0.32</v>
      </c>
      <c r="G37" s="36">
        <v>0.34</v>
      </c>
      <c r="H37" s="36">
        <v>0.38</v>
      </c>
      <c r="I37" s="36">
        <v>0.4</v>
      </c>
      <c r="J37" s="36">
        <v>0.43</v>
      </c>
      <c r="K37" s="36">
        <v>0.47</v>
      </c>
      <c r="L37" s="36">
        <v>0.49</v>
      </c>
      <c r="M37" s="36">
        <v>0.5</v>
      </c>
      <c r="N37" s="36">
        <v>0.54</v>
      </c>
      <c r="O37" s="36">
        <v>0.56999999999999995</v>
      </c>
      <c r="P37" s="36">
        <v>0.61</v>
      </c>
      <c r="Q37" s="36">
        <v>0.64</v>
      </c>
      <c r="R37" s="36">
        <v>0.67</v>
      </c>
      <c r="S37" s="36">
        <v>0.69</v>
      </c>
      <c r="T37" s="36">
        <v>0.71</v>
      </c>
      <c r="U37" s="36">
        <v>0.73</v>
      </c>
      <c r="V37" s="36">
        <v>0.75</v>
      </c>
      <c r="W37" s="36">
        <v>0.77</v>
      </c>
      <c r="X37" s="36">
        <v>0.79</v>
      </c>
      <c r="Y37" s="36">
        <v>0.81</v>
      </c>
      <c r="Z37" s="36">
        <v>0.82</v>
      </c>
      <c r="AA37" s="36">
        <v>0.84</v>
      </c>
      <c r="AB37" s="36">
        <v>0.86</v>
      </c>
      <c r="AC37" s="36">
        <v>0.88</v>
      </c>
      <c r="AD37" s="36">
        <v>0.9</v>
      </c>
      <c r="AE37" s="36">
        <v>0.92</v>
      </c>
      <c r="AF37" s="36">
        <v>1</v>
      </c>
      <c r="AG37" s="36">
        <v>1</v>
      </c>
      <c r="AH37" s="36">
        <v>1</v>
      </c>
      <c r="AI37" s="36">
        <v>1</v>
      </c>
      <c r="AJ37" s="8"/>
    </row>
    <row r="38" spans="1:36" x14ac:dyDescent="0.2">
      <c r="A38" s="7" t="s">
        <v>1</v>
      </c>
      <c r="B38" s="38">
        <v>800</v>
      </c>
      <c r="C38" s="36">
        <v>0.17</v>
      </c>
      <c r="D38" s="36">
        <v>0.24</v>
      </c>
      <c r="E38" s="36">
        <v>0.28999999999999998</v>
      </c>
      <c r="F38" s="36">
        <v>0.3</v>
      </c>
      <c r="G38" s="36">
        <v>0.34</v>
      </c>
      <c r="H38" s="36">
        <v>0.38</v>
      </c>
      <c r="I38" s="36">
        <v>0.4</v>
      </c>
      <c r="J38" s="36">
        <v>0.43</v>
      </c>
      <c r="K38" s="36">
        <v>0.46</v>
      </c>
      <c r="L38" s="36">
        <v>0.48</v>
      </c>
      <c r="M38" s="36">
        <v>0.5</v>
      </c>
      <c r="N38" s="36">
        <v>0.54</v>
      </c>
      <c r="O38" s="36">
        <v>0.56999999999999995</v>
      </c>
      <c r="P38" s="36">
        <v>0.61</v>
      </c>
      <c r="Q38" s="36">
        <v>0.64</v>
      </c>
      <c r="R38" s="36">
        <v>0.67</v>
      </c>
      <c r="S38" s="36">
        <v>0.69</v>
      </c>
      <c r="T38" s="36">
        <v>0.71</v>
      </c>
      <c r="U38" s="36">
        <v>0.73</v>
      </c>
      <c r="V38" s="36">
        <v>0.75</v>
      </c>
      <c r="W38" s="36">
        <v>0.77</v>
      </c>
      <c r="X38" s="36">
        <v>0.79</v>
      </c>
      <c r="Y38" s="36">
        <v>0.81</v>
      </c>
      <c r="Z38" s="36">
        <v>0.82</v>
      </c>
      <c r="AA38" s="36">
        <v>0.84</v>
      </c>
      <c r="AB38" s="36">
        <v>0.86</v>
      </c>
      <c r="AC38" s="36">
        <v>0.88</v>
      </c>
      <c r="AD38" s="36">
        <v>0.9</v>
      </c>
      <c r="AE38" s="36">
        <v>0.92</v>
      </c>
      <c r="AF38" s="36">
        <v>1</v>
      </c>
      <c r="AG38" s="36">
        <v>1</v>
      </c>
      <c r="AH38" s="36">
        <v>1</v>
      </c>
      <c r="AI38" s="36">
        <v>1</v>
      </c>
      <c r="AJ38" s="8"/>
    </row>
    <row r="39" spans="1:36" x14ac:dyDescent="0.2">
      <c r="A39" s="7" t="s">
        <v>1</v>
      </c>
      <c r="B39" s="38">
        <v>830</v>
      </c>
      <c r="C39" s="36">
        <v>0.17</v>
      </c>
      <c r="D39" s="36">
        <v>0.24</v>
      </c>
      <c r="E39" s="36">
        <v>0.28999999999999998</v>
      </c>
      <c r="F39" s="36">
        <v>0.3</v>
      </c>
      <c r="G39" s="36">
        <v>0.34</v>
      </c>
      <c r="H39" s="36">
        <v>0.37</v>
      </c>
      <c r="I39" s="36">
        <v>0.4</v>
      </c>
      <c r="J39" s="36">
        <v>0.42</v>
      </c>
      <c r="K39" s="36">
        <v>0.44</v>
      </c>
      <c r="L39" s="36">
        <v>0.48</v>
      </c>
      <c r="M39" s="36">
        <v>0.5</v>
      </c>
      <c r="N39" s="36">
        <v>0.54</v>
      </c>
      <c r="O39" s="36">
        <v>0.56999999999999995</v>
      </c>
      <c r="P39" s="36">
        <v>0.61</v>
      </c>
      <c r="Q39" s="36">
        <v>0.64</v>
      </c>
      <c r="R39" s="36">
        <v>0.67</v>
      </c>
      <c r="S39" s="36">
        <v>0.69</v>
      </c>
      <c r="T39" s="36">
        <v>0.71</v>
      </c>
      <c r="U39" s="36">
        <v>0.73</v>
      </c>
      <c r="V39" s="36">
        <v>0.75</v>
      </c>
      <c r="W39" s="36">
        <v>0.77</v>
      </c>
      <c r="X39" s="36">
        <v>0.79</v>
      </c>
      <c r="Y39" s="36">
        <v>0.81</v>
      </c>
      <c r="Z39" s="36">
        <v>0.82</v>
      </c>
      <c r="AA39" s="36">
        <v>0.84</v>
      </c>
      <c r="AB39" s="36">
        <v>0.86</v>
      </c>
      <c r="AC39" s="36">
        <v>0.88</v>
      </c>
      <c r="AD39" s="36">
        <v>0.9</v>
      </c>
      <c r="AE39" s="36">
        <v>0.92</v>
      </c>
      <c r="AF39" s="36">
        <v>1</v>
      </c>
      <c r="AG39" s="36">
        <v>1</v>
      </c>
      <c r="AH39" s="36">
        <v>1</v>
      </c>
      <c r="AI39" s="36">
        <v>1</v>
      </c>
      <c r="AJ39" s="8"/>
    </row>
    <row r="40" spans="1:36" x14ac:dyDescent="0.2">
      <c r="A40" s="7" t="s">
        <v>1</v>
      </c>
      <c r="B40" s="38">
        <v>880</v>
      </c>
      <c r="C40" s="36">
        <v>0.17</v>
      </c>
      <c r="D40" s="36">
        <v>0.22</v>
      </c>
      <c r="E40" s="36">
        <v>0.27</v>
      </c>
      <c r="F40" s="36">
        <v>0.28999999999999998</v>
      </c>
      <c r="G40" s="36">
        <v>0.32</v>
      </c>
      <c r="H40" s="36">
        <v>0.34</v>
      </c>
      <c r="I40" s="36">
        <v>0.37</v>
      </c>
      <c r="J40" s="36">
        <v>0.42</v>
      </c>
      <c r="K40" s="36">
        <v>0.44</v>
      </c>
      <c r="L40" s="36">
        <v>0.47</v>
      </c>
      <c r="M40" s="36">
        <v>0.5</v>
      </c>
      <c r="N40" s="36">
        <v>0.54</v>
      </c>
      <c r="O40" s="36">
        <v>0.56999999999999995</v>
      </c>
      <c r="P40" s="36">
        <v>0.61</v>
      </c>
      <c r="Q40" s="36">
        <v>0.64</v>
      </c>
      <c r="R40" s="36">
        <v>0.67</v>
      </c>
      <c r="S40" s="36">
        <v>0.69</v>
      </c>
      <c r="T40" s="36">
        <v>0.71</v>
      </c>
      <c r="U40" s="36">
        <v>0.73</v>
      </c>
      <c r="V40" s="36">
        <v>0.75</v>
      </c>
      <c r="W40" s="36">
        <v>0.77</v>
      </c>
      <c r="X40" s="36">
        <v>0.79</v>
      </c>
      <c r="Y40" s="36">
        <v>0.81</v>
      </c>
      <c r="Z40" s="36">
        <v>0.82</v>
      </c>
      <c r="AA40" s="36">
        <v>0.84</v>
      </c>
      <c r="AB40" s="36">
        <v>0.86</v>
      </c>
      <c r="AC40" s="36">
        <v>0.88</v>
      </c>
      <c r="AD40" s="36">
        <v>0.9</v>
      </c>
      <c r="AE40" s="36">
        <v>0.92</v>
      </c>
      <c r="AF40" s="36">
        <v>1</v>
      </c>
      <c r="AG40" s="36">
        <v>1</v>
      </c>
      <c r="AH40" s="36">
        <v>1</v>
      </c>
      <c r="AI40" s="36">
        <v>1</v>
      </c>
      <c r="AJ40" s="8"/>
    </row>
    <row r="41" spans="1:36" x14ac:dyDescent="0.2">
      <c r="A41" s="7" t="s">
        <v>1</v>
      </c>
      <c r="B41" s="38">
        <v>950</v>
      </c>
      <c r="C41" s="36">
        <v>0.17</v>
      </c>
      <c r="D41" s="36">
        <v>0.22</v>
      </c>
      <c r="E41" s="36">
        <v>0.26</v>
      </c>
      <c r="F41" s="36">
        <v>0.28999999999999998</v>
      </c>
      <c r="G41" s="36">
        <v>0.31</v>
      </c>
      <c r="H41" s="36">
        <v>0.34</v>
      </c>
      <c r="I41" s="36">
        <v>0.37</v>
      </c>
      <c r="J41" s="36">
        <v>0.41</v>
      </c>
      <c r="K41" s="36">
        <v>0.44</v>
      </c>
      <c r="L41" s="36">
        <v>0.47</v>
      </c>
      <c r="M41" s="36">
        <v>0.5</v>
      </c>
      <c r="N41" s="36">
        <v>0.54</v>
      </c>
      <c r="O41" s="36">
        <v>0.56999999999999995</v>
      </c>
      <c r="P41" s="36">
        <v>0.61</v>
      </c>
      <c r="Q41" s="36">
        <v>0.64</v>
      </c>
      <c r="R41" s="36">
        <v>0.67</v>
      </c>
      <c r="S41" s="36">
        <v>0.69</v>
      </c>
      <c r="T41" s="36">
        <v>0.71</v>
      </c>
      <c r="U41" s="36">
        <v>0.73</v>
      </c>
      <c r="V41" s="36">
        <v>0.75</v>
      </c>
      <c r="W41" s="36">
        <v>0.77</v>
      </c>
      <c r="X41" s="36">
        <v>0.79</v>
      </c>
      <c r="Y41" s="36">
        <v>0.81</v>
      </c>
      <c r="Z41" s="36">
        <v>0.82</v>
      </c>
      <c r="AA41" s="36">
        <v>0.84</v>
      </c>
      <c r="AB41" s="36">
        <v>0.86</v>
      </c>
      <c r="AC41" s="36">
        <v>0.88</v>
      </c>
      <c r="AD41" s="36">
        <v>0.9</v>
      </c>
      <c r="AE41" s="36">
        <v>0.92</v>
      </c>
      <c r="AF41" s="36">
        <v>1</v>
      </c>
      <c r="AG41" s="36">
        <v>1</v>
      </c>
      <c r="AH41" s="36">
        <v>1</v>
      </c>
      <c r="AI41" s="36">
        <v>1</v>
      </c>
      <c r="AJ41" s="8"/>
    </row>
    <row r="42" spans="1:36" x14ac:dyDescent="0.2">
      <c r="A42" s="7" t="s">
        <v>1</v>
      </c>
      <c r="B42" s="38">
        <v>1000</v>
      </c>
      <c r="C42" s="36">
        <v>0.17</v>
      </c>
      <c r="D42" s="36">
        <v>0.21</v>
      </c>
      <c r="E42" s="36">
        <v>0.25</v>
      </c>
      <c r="F42" s="36">
        <v>0.28000000000000003</v>
      </c>
      <c r="G42" s="36">
        <v>0.3</v>
      </c>
      <c r="H42" s="36">
        <v>0.33</v>
      </c>
      <c r="I42" s="36">
        <v>0.37</v>
      </c>
      <c r="J42" s="36">
        <v>0.4</v>
      </c>
      <c r="K42" s="36">
        <v>0.43</v>
      </c>
      <c r="L42" s="36">
        <v>0.47</v>
      </c>
      <c r="M42" s="36">
        <v>0.49</v>
      </c>
      <c r="N42" s="36">
        <v>0.54</v>
      </c>
      <c r="O42" s="36">
        <v>0.56000000000000005</v>
      </c>
      <c r="P42" s="36">
        <v>0.6</v>
      </c>
      <c r="Q42" s="36">
        <v>0.63</v>
      </c>
      <c r="R42" s="36">
        <v>0.66</v>
      </c>
      <c r="S42" s="36">
        <v>0.68</v>
      </c>
      <c r="T42" s="36">
        <v>0.7</v>
      </c>
      <c r="U42" s="36">
        <v>0.72</v>
      </c>
      <c r="V42" s="36">
        <v>0.74</v>
      </c>
      <c r="W42" s="36">
        <v>0.76</v>
      </c>
      <c r="X42" s="36">
        <v>0.78</v>
      </c>
      <c r="Y42" s="36">
        <v>0.8</v>
      </c>
      <c r="Z42" s="36">
        <v>0.81</v>
      </c>
      <c r="AA42" s="36">
        <v>0.83</v>
      </c>
      <c r="AB42" s="36">
        <v>0.85</v>
      </c>
      <c r="AC42" s="36">
        <v>0.87</v>
      </c>
      <c r="AD42" s="36">
        <v>0.89</v>
      </c>
      <c r="AE42" s="36">
        <v>0.91</v>
      </c>
      <c r="AF42" s="36">
        <v>1</v>
      </c>
      <c r="AG42" s="36">
        <v>1</v>
      </c>
      <c r="AH42" s="36">
        <v>1</v>
      </c>
      <c r="AI42" s="36">
        <v>1</v>
      </c>
      <c r="AJ42" s="8"/>
    </row>
    <row r="43" spans="1:36" x14ac:dyDescent="0.2">
      <c r="A43" s="7" t="s">
        <v>1</v>
      </c>
      <c r="B43" s="38">
        <v>1100</v>
      </c>
      <c r="C43" s="36">
        <v>0.17</v>
      </c>
      <c r="D43" s="36">
        <v>0.21</v>
      </c>
      <c r="E43" s="36">
        <v>0.25</v>
      </c>
      <c r="F43" s="36">
        <v>0.28000000000000003</v>
      </c>
      <c r="G43" s="36">
        <v>0.3</v>
      </c>
      <c r="H43" s="36">
        <v>0.33</v>
      </c>
      <c r="I43" s="36">
        <v>0.37</v>
      </c>
      <c r="J43" s="36">
        <v>0.4</v>
      </c>
      <c r="K43" s="36">
        <v>0.43</v>
      </c>
      <c r="L43" s="36">
        <v>0.47</v>
      </c>
      <c r="M43" s="36">
        <v>0.49</v>
      </c>
      <c r="N43" s="36">
        <v>0.54</v>
      </c>
      <c r="O43" s="36">
        <v>0.56000000000000005</v>
      </c>
      <c r="P43" s="36">
        <v>0.6</v>
      </c>
      <c r="Q43" s="36">
        <v>0.63</v>
      </c>
      <c r="R43" s="36">
        <v>0.66</v>
      </c>
      <c r="S43" s="36">
        <v>0.68</v>
      </c>
      <c r="T43" s="36">
        <v>0.7</v>
      </c>
      <c r="U43" s="36">
        <v>0.72</v>
      </c>
      <c r="V43" s="36">
        <v>0.74</v>
      </c>
      <c r="W43" s="36">
        <v>0.76</v>
      </c>
      <c r="X43" s="36">
        <v>0.78</v>
      </c>
      <c r="Y43" s="36">
        <v>0.8</v>
      </c>
      <c r="Z43" s="36">
        <v>0.81</v>
      </c>
      <c r="AA43" s="36">
        <v>0.83</v>
      </c>
      <c r="AB43" s="36">
        <v>0.85</v>
      </c>
      <c r="AC43" s="36">
        <v>0.87</v>
      </c>
      <c r="AD43" s="36">
        <v>0.89</v>
      </c>
      <c r="AE43" s="36">
        <v>0.91</v>
      </c>
      <c r="AF43" s="36">
        <v>1</v>
      </c>
      <c r="AG43" s="36">
        <v>1</v>
      </c>
      <c r="AH43" s="36">
        <v>1</v>
      </c>
      <c r="AI43" s="36">
        <v>1</v>
      </c>
      <c r="AJ43" s="8"/>
    </row>
    <row r="44" spans="1:36" x14ac:dyDescent="0.2">
      <c r="A44" s="7" t="s">
        <v>1</v>
      </c>
      <c r="B44" s="38">
        <v>1200</v>
      </c>
      <c r="C44" s="36">
        <v>0.17</v>
      </c>
      <c r="D44" s="36">
        <v>0.2</v>
      </c>
      <c r="E44" s="36">
        <v>0.24</v>
      </c>
      <c r="F44" s="36">
        <v>0.28000000000000003</v>
      </c>
      <c r="G44" s="36">
        <v>0.3</v>
      </c>
      <c r="H44" s="36">
        <v>0.33</v>
      </c>
      <c r="I44" s="36">
        <v>0.37</v>
      </c>
      <c r="J44" s="36">
        <v>0.39</v>
      </c>
      <c r="K44" s="36">
        <v>0.43</v>
      </c>
      <c r="L44" s="36">
        <v>0.47</v>
      </c>
      <c r="M44" s="36">
        <v>0.49</v>
      </c>
      <c r="N44" s="36">
        <v>0.53</v>
      </c>
      <c r="O44" s="36">
        <v>0.56000000000000005</v>
      </c>
      <c r="P44" s="36">
        <v>0.6</v>
      </c>
      <c r="Q44" s="36">
        <v>0.63</v>
      </c>
      <c r="R44" s="36">
        <v>0.66</v>
      </c>
      <c r="S44" s="36">
        <v>0.68</v>
      </c>
      <c r="T44" s="36">
        <v>0.7</v>
      </c>
      <c r="U44" s="36">
        <v>0.72</v>
      </c>
      <c r="V44" s="36">
        <v>0.74</v>
      </c>
      <c r="W44" s="36">
        <v>0.76</v>
      </c>
      <c r="X44" s="36">
        <v>0.78</v>
      </c>
      <c r="Y44" s="36">
        <v>0.8</v>
      </c>
      <c r="Z44" s="36">
        <v>0.81</v>
      </c>
      <c r="AA44" s="36">
        <v>0.83</v>
      </c>
      <c r="AB44" s="36">
        <v>0.85</v>
      </c>
      <c r="AC44" s="36">
        <v>0.87</v>
      </c>
      <c r="AD44" s="36">
        <v>0.89</v>
      </c>
      <c r="AE44" s="36">
        <v>0.91</v>
      </c>
      <c r="AF44" s="36">
        <v>1</v>
      </c>
      <c r="AG44" s="36">
        <v>1</v>
      </c>
      <c r="AH44" s="36">
        <v>1</v>
      </c>
      <c r="AI44" s="36">
        <v>1</v>
      </c>
      <c r="AJ44" s="8"/>
    </row>
    <row r="45" spans="1:36" x14ac:dyDescent="0.2">
      <c r="A45" s="7" t="s">
        <v>1</v>
      </c>
      <c r="B45" s="38">
        <v>1300</v>
      </c>
      <c r="C45" s="36">
        <v>0.17</v>
      </c>
      <c r="D45" s="36">
        <v>0.2</v>
      </c>
      <c r="E45" s="36">
        <v>0.24</v>
      </c>
      <c r="F45" s="36">
        <v>0.27</v>
      </c>
      <c r="G45" s="36">
        <v>0.3</v>
      </c>
      <c r="H45" s="36">
        <v>0.33</v>
      </c>
      <c r="I45" s="36">
        <v>0.36</v>
      </c>
      <c r="J45" s="36">
        <v>0.39</v>
      </c>
      <c r="K45" s="36">
        <v>0.43</v>
      </c>
      <c r="L45" s="36">
        <v>0.46</v>
      </c>
      <c r="M45" s="36">
        <v>0.49</v>
      </c>
      <c r="N45" s="36">
        <v>0.53</v>
      </c>
      <c r="O45" s="36">
        <v>0.56000000000000005</v>
      </c>
      <c r="P45" s="36">
        <v>0.6</v>
      </c>
      <c r="Q45" s="36">
        <v>0.63</v>
      </c>
      <c r="R45" s="36">
        <v>0.66</v>
      </c>
      <c r="S45" s="36">
        <v>0.68</v>
      </c>
      <c r="T45" s="36">
        <v>0.7</v>
      </c>
      <c r="U45" s="36">
        <v>0.72</v>
      </c>
      <c r="V45" s="36">
        <v>0.74</v>
      </c>
      <c r="W45" s="36">
        <v>0.76</v>
      </c>
      <c r="X45" s="36">
        <v>0.78</v>
      </c>
      <c r="Y45" s="36">
        <v>0.8</v>
      </c>
      <c r="Z45" s="36">
        <v>0.81</v>
      </c>
      <c r="AA45" s="36">
        <v>0.83</v>
      </c>
      <c r="AB45" s="36">
        <v>0.85</v>
      </c>
      <c r="AC45" s="36">
        <v>0.87</v>
      </c>
      <c r="AD45" s="36">
        <v>0.89</v>
      </c>
      <c r="AE45" s="36">
        <v>0.91</v>
      </c>
      <c r="AF45" s="36">
        <v>1</v>
      </c>
      <c r="AG45" s="36">
        <v>1</v>
      </c>
      <c r="AH45" s="36">
        <v>1</v>
      </c>
      <c r="AI45" s="36">
        <v>1</v>
      </c>
      <c r="AJ45" s="8"/>
    </row>
    <row r="46" spans="1:36" x14ac:dyDescent="0.2">
      <c r="A46" s="7" t="s">
        <v>1</v>
      </c>
      <c r="B46" s="38">
        <v>1400</v>
      </c>
      <c r="C46" s="36">
        <v>0.17</v>
      </c>
      <c r="D46" s="36">
        <v>0.2</v>
      </c>
      <c r="E46" s="36">
        <v>0.24</v>
      </c>
      <c r="F46" s="36">
        <v>0.27</v>
      </c>
      <c r="G46" s="36">
        <v>0.3</v>
      </c>
      <c r="H46" s="36">
        <v>0.33</v>
      </c>
      <c r="I46" s="36">
        <v>0.36</v>
      </c>
      <c r="J46" s="36">
        <v>0.39</v>
      </c>
      <c r="K46" s="36">
        <v>0.43</v>
      </c>
      <c r="L46" s="36">
        <v>0.46</v>
      </c>
      <c r="M46" s="36">
        <v>0.49</v>
      </c>
      <c r="N46" s="36">
        <v>0.53</v>
      </c>
      <c r="O46" s="36">
        <v>0.56000000000000005</v>
      </c>
      <c r="P46" s="36">
        <v>0.6</v>
      </c>
      <c r="Q46" s="36">
        <v>0.63</v>
      </c>
      <c r="R46" s="36">
        <v>0.66</v>
      </c>
      <c r="S46" s="36">
        <v>0.68</v>
      </c>
      <c r="T46" s="36">
        <v>0.7</v>
      </c>
      <c r="U46" s="36">
        <v>0.72</v>
      </c>
      <c r="V46" s="36">
        <v>0.74</v>
      </c>
      <c r="W46" s="36">
        <v>0.76</v>
      </c>
      <c r="X46" s="36">
        <v>0.78</v>
      </c>
      <c r="Y46" s="36">
        <v>0.8</v>
      </c>
      <c r="Z46" s="36">
        <v>0.81</v>
      </c>
      <c r="AA46" s="36">
        <v>0.83</v>
      </c>
      <c r="AB46" s="36">
        <v>0.85</v>
      </c>
      <c r="AC46" s="36">
        <v>0.87</v>
      </c>
      <c r="AD46" s="36">
        <v>0.89</v>
      </c>
      <c r="AE46" s="36">
        <v>0.91</v>
      </c>
      <c r="AF46" s="36">
        <v>1</v>
      </c>
      <c r="AG46" s="36">
        <v>1</v>
      </c>
      <c r="AH46" s="36">
        <v>1</v>
      </c>
      <c r="AI46" s="36">
        <v>1</v>
      </c>
      <c r="AJ46" s="8"/>
    </row>
    <row r="47" spans="1:36" x14ac:dyDescent="0.2">
      <c r="A47" s="7" t="s">
        <v>1</v>
      </c>
      <c r="B47" s="38">
        <v>1500</v>
      </c>
      <c r="C47" s="36">
        <v>0.16</v>
      </c>
      <c r="D47" s="36">
        <v>0.19</v>
      </c>
      <c r="E47" s="36">
        <v>0.23</v>
      </c>
      <c r="F47" s="36">
        <v>0.26</v>
      </c>
      <c r="G47" s="36">
        <v>0.28999999999999998</v>
      </c>
      <c r="H47" s="36">
        <v>0.32</v>
      </c>
      <c r="I47" s="36">
        <v>0.36</v>
      </c>
      <c r="J47" s="36">
        <v>0.38</v>
      </c>
      <c r="K47" s="36">
        <v>0.42</v>
      </c>
      <c r="L47" s="36">
        <v>0.46</v>
      </c>
      <c r="M47" s="36">
        <v>0.49</v>
      </c>
      <c r="N47" s="36">
        <v>0.53</v>
      </c>
      <c r="O47" s="36">
        <v>0.56000000000000005</v>
      </c>
      <c r="P47" s="36">
        <v>0.6</v>
      </c>
      <c r="Q47" s="36">
        <v>0.63</v>
      </c>
      <c r="R47" s="36">
        <v>0.66</v>
      </c>
      <c r="S47" s="36">
        <v>0.68</v>
      </c>
      <c r="T47" s="36">
        <v>0.7</v>
      </c>
      <c r="U47" s="36">
        <v>0.72</v>
      </c>
      <c r="V47" s="36">
        <v>0.74</v>
      </c>
      <c r="W47" s="36">
        <v>0.76</v>
      </c>
      <c r="X47" s="36">
        <v>0.78</v>
      </c>
      <c r="Y47" s="36">
        <v>0.8</v>
      </c>
      <c r="Z47" s="36">
        <v>0.81</v>
      </c>
      <c r="AA47" s="36">
        <v>0.83</v>
      </c>
      <c r="AB47" s="36">
        <v>0.85</v>
      </c>
      <c r="AC47" s="36">
        <v>0.87</v>
      </c>
      <c r="AD47" s="36">
        <v>0.89</v>
      </c>
      <c r="AE47" s="36">
        <v>0.91</v>
      </c>
      <c r="AF47" s="36">
        <v>1</v>
      </c>
      <c r="AG47" s="36">
        <v>1</v>
      </c>
      <c r="AH47" s="36">
        <v>1</v>
      </c>
      <c r="AI47" s="36">
        <v>1</v>
      </c>
      <c r="AJ47" s="8"/>
    </row>
  </sheetData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/>
  <headerFooter alignWithMargins="0">
    <oddHeader>&amp;C&amp;"Times New Roman,Normal"&amp;12&amp;A</oddHeader>
    <oddFooter>&amp;C&amp;"Times New Roman,Normal"&amp;12Page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theme="3" tint="0.59999389629810485"/>
  </sheetPr>
  <dimension ref="A2:H96"/>
  <sheetViews>
    <sheetView topLeftCell="A14" workbookViewId="0">
      <selection activeCell="G18" sqref="G18"/>
    </sheetView>
  </sheetViews>
  <sheetFormatPr baseColWidth="10" defaultRowHeight="12.75" x14ac:dyDescent="0.2"/>
  <cols>
    <col min="1" max="1" width="24.42578125" style="13" customWidth="1"/>
    <col min="2" max="2" width="21" customWidth="1"/>
    <col min="3" max="3" width="21.140625" style="11" customWidth="1"/>
    <col min="5" max="5" width="11.42578125" style="12"/>
    <col min="8" max="8" width="13.42578125" bestFit="1" customWidth="1"/>
  </cols>
  <sheetData>
    <row r="2" spans="1:8" ht="38.25" x14ac:dyDescent="0.2">
      <c r="A2" s="6" t="s">
        <v>170</v>
      </c>
      <c r="B2" s="6" t="s">
        <v>171</v>
      </c>
      <c r="C2" s="50" t="s">
        <v>172</v>
      </c>
      <c r="D2" s="6" t="s">
        <v>174</v>
      </c>
      <c r="E2" s="6" t="s">
        <v>173</v>
      </c>
    </row>
    <row r="3" spans="1:8" x14ac:dyDescent="0.2">
      <c r="A3" s="9">
        <v>1</v>
      </c>
      <c r="B3" s="7" t="s">
        <v>2</v>
      </c>
      <c r="C3" s="14">
        <v>1.7027010000000007</v>
      </c>
      <c r="E3" s="10">
        <v>90.846000000000004</v>
      </c>
      <c r="G3" s="59"/>
      <c r="H3" s="60"/>
    </row>
    <row r="4" spans="1:8" x14ac:dyDescent="0.2">
      <c r="A4" s="9">
        <v>2</v>
      </c>
      <c r="B4" s="7" t="s">
        <v>3</v>
      </c>
      <c r="C4" s="14">
        <v>1.7027010000000007</v>
      </c>
      <c r="E4" s="10">
        <v>79.490250000000003</v>
      </c>
      <c r="G4" s="59"/>
      <c r="H4" s="60"/>
    </row>
    <row r="5" spans="1:8" x14ac:dyDescent="0.2">
      <c r="A5" s="9">
        <v>3</v>
      </c>
      <c r="B5" s="7" t="s">
        <v>4</v>
      </c>
      <c r="C5" s="14">
        <v>1.5717240000000006</v>
      </c>
      <c r="E5" s="10">
        <v>113.5575</v>
      </c>
      <c r="G5" s="59"/>
      <c r="H5" s="60"/>
    </row>
    <row r="6" spans="1:8" x14ac:dyDescent="0.2">
      <c r="A6" s="9">
        <v>4</v>
      </c>
      <c r="B6" s="7" t="s">
        <v>5</v>
      </c>
      <c r="C6" s="10">
        <v>1.4407470000000004</v>
      </c>
      <c r="E6" s="10">
        <v>113.5575</v>
      </c>
      <c r="G6" s="59"/>
      <c r="H6" s="60"/>
    </row>
    <row r="7" spans="1:8" x14ac:dyDescent="0.2">
      <c r="A7" s="9">
        <v>5</v>
      </c>
      <c r="B7" s="7" t="s">
        <v>6</v>
      </c>
      <c r="C7" s="10">
        <v>1.4407470000000004</v>
      </c>
      <c r="E7" s="10">
        <v>113.5575</v>
      </c>
      <c r="G7" s="59"/>
      <c r="H7" s="60"/>
    </row>
    <row r="8" spans="1:8" x14ac:dyDescent="0.2">
      <c r="A8" s="9">
        <v>6</v>
      </c>
      <c r="B8" s="7" t="s">
        <v>7</v>
      </c>
      <c r="C8" s="14">
        <v>1.3752585000000004</v>
      </c>
      <c r="E8" s="10">
        <v>119.235375</v>
      </c>
      <c r="G8" s="59"/>
      <c r="H8" s="60"/>
    </row>
    <row r="9" spans="1:8" x14ac:dyDescent="0.2">
      <c r="A9" s="9">
        <v>7</v>
      </c>
      <c r="B9" s="7" t="s">
        <v>8</v>
      </c>
      <c r="C9" s="14">
        <v>1.5717240000000006</v>
      </c>
      <c r="E9" s="10">
        <v>113.5575</v>
      </c>
      <c r="G9" s="59"/>
      <c r="H9" s="60"/>
    </row>
    <row r="10" spans="1:8" x14ac:dyDescent="0.2">
      <c r="A10" s="9">
        <v>8</v>
      </c>
      <c r="B10" s="7" t="s">
        <v>9</v>
      </c>
      <c r="C10" s="14">
        <v>1.8336780000000004</v>
      </c>
      <c r="E10" s="10">
        <v>130.59112500000001</v>
      </c>
      <c r="G10" s="59"/>
      <c r="H10" s="60"/>
    </row>
    <row r="11" spans="1:8" x14ac:dyDescent="0.2">
      <c r="A11" s="9">
        <v>9</v>
      </c>
      <c r="B11" s="7" t="s">
        <v>10</v>
      </c>
      <c r="C11" s="14">
        <v>1.3097700000000001</v>
      </c>
      <c r="E11" s="10">
        <v>113.5575</v>
      </c>
      <c r="G11" s="59"/>
      <c r="H11" s="60"/>
    </row>
    <row r="12" spans="1:8" x14ac:dyDescent="0.2">
      <c r="A12" s="9">
        <v>10</v>
      </c>
      <c r="B12" s="7" t="s">
        <v>11</v>
      </c>
      <c r="C12" s="14">
        <v>1.7681895000000007</v>
      </c>
      <c r="E12" s="10">
        <v>90.846000000000004</v>
      </c>
      <c r="G12" s="59"/>
      <c r="H12" s="60"/>
    </row>
    <row r="13" spans="1:8" x14ac:dyDescent="0.2">
      <c r="A13" s="9">
        <v>11</v>
      </c>
      <c r="B13" s="7" t="s">
        <v>12</v>
      </c>
      <c r="C13" s="14">
        <v>1.3752585000000004</v>
      </c>
      <c r="E13" s="10">
        <v>119.235375</v>
      </c>
      <c r="G13" s="59"/>
      <c r="H13" s="60"/>
    </row>
    <row r="14" spans="1:8" x14ac:dyDescent="0.2">
      <c r="A14" s="9">
        <v>12</v>
      </c>
      <c r="B14" s="7" t="s">
        <v>13</v>
      </c>
      <c r="C14" s="10">
        <v>1.4407470000000004</v>
      </c>
      <c r="E14" s="10">
        <v>102.20175000000002</v>
      </c>
      <c r="G14" s="59"/>
      <c r="H14" s="60"/>
    </row>
    <row r="15" spans="1:8" x14ac:dyDescent="0.2">
      <c r="A15" s="9">
        <v>13</v>
      </c>
      <c r="B15" s="7" t="s">
        <v>14</v>
      </c>
      <c r="C15" s="10">
        <v>1.5062355000000003</v>
      </c>
      <c r="E15" s="10">
        <v>130.59112500000001</v>
      </c>
      <c r="G15" s="59"/>
      <c r="H15" s="60"/>
    </row>
    <row r="16" spans="1:8" ht="15.75" x14ac:dyDescent="0.25">
      <c r="A16" s="9">
        <v>14</v>
      </c>
      <c r="B16" s="7" t="s">
        <v>15</v>
      </c>
      <c r="C16" s="14">
        <v>1.6372125000000004</v>
      </c>
      <c r="E16" s="10">
        <v>85.168125000000003</v>
      </c>
      <c r="G16" s="59"/>
      <c r="H16" s="64"/>
    </row>
    <row r="17" spans="1:8" x14ac:dyDescent="0.2">
      <c r="A17" s="9">
        <v>15</v>
      </c>
      <c r="B17" s="7" t="s">
        <v>16</v>
      </c>
      <c r="C17" s="10">
        <v>1.4407470000000004</v>
      </c>
      <c r="E17" s="10">
        <v>102.20175000000002</v>
      </c>
      <c r="G17" s="59"/>
      <c r="H17" s="60"/>
    </row>
    <row r="18" spans="1:8" x14ac:dyDescent="0.2">
      <c r="A18" s="9">
        <v>16</v>
      </c>
      <c r="B18" s="7" t="s">
        <v>17</v>
      </c>
      <c r="C18" s="14">
        <v>1.3752585000000004</v>
      </c>
      <c r="E18" s="10">
        <v>73.812375000000017</v>
      </c>
      <c r="G18" s="59"/>
      <c r="H18" s="60"/>
    </row>
    <row r="19" spans="1:8" x14ac:dyDescent="0.2">
      <c r="A19" s="9">
        <v>17</v>
      </c>
      <c r="B19" s="7" t="s">
        <v>18</v>
      </c>
      <c r="C19" s="14">
        <v>1.3752585000000004</v>
      </c>
      <c r="E19" s="10">
        <v>73.812375000000017</v>
      </c>
      <c r="G19" s="59"/>
      <c r="H19" s="60"/>
    </row>
    <row r="20" spans="1:8" x14ac:dyDescent="0.2">
      <c r="A20" s="9">
        <v>18</v>
      </c>
      <c r="B20" s="7" t="s">
        <v>19</v>
      </c>
      <c r="C20" s="14">
        <v>1.7027010000000007</v>
      </c>
      <c r="E20" s="10">
        <v>90.846000000000004</v>
      </c>
      <c r="G20" s="59"/>
      <c r="H20" s="60"/>
    </row>
    <row r="21" spans="1:8" x14ac:dyDescent="0.2">
      <c r="A21" s="9">
        <v>19</v>
      </c>
      <c r="B21" s="7" t="s">
        <v>20</v>
      </c>
      <c r="C21" s="14">
        <v>1.5717240000000006</v>
      </c>
      <c r="E21" s="10">
        <v>90.846000000000004</v>
      </c>
      <c r="G21" s="59"/>
      <c r="H21" s="60"/>
    </row>
    <row r="22" spans="1:8" x14ac:dyDescent="0.2">
      <c r="A22" s="9">
        <v>21</v>
      </c>
      <c r="B22" s="7" t="s">
        <v>21</v>
      </c>
      <c r="C22" s="14">
        <v>1.5717240000000006</v>
      </c>
      <c r="E22" s="10">
        <v>96.523875000000004</v>
      </c>
      <c r="G22" s="59"/>
      <c r="H22" s="60"/>
    </row>
    <row r="23" spans="1:8" x14ac:dyDescent="0.2">
      <c r="A23" s="9">
        <v>22</v>
      </c>
      <c r="B23" s="7" t="s">
        <v>22</v>
      </c>
      <c r="C23" s="10">
        <v>1.4407470000000004</v>
      </c>
      <c r="E23" s="10">
        <v>102.20175000000002</v>
      </c>
      <c r="G23" s="59"/>
      <c r="H23" s="60"/>
    </row>
    <row r="24" spans="1:8" x14ac:dyDescent="0.2">
      <c r="A24" s="9">
        <v>23</v>
      </c>
      <c r="B24" s="7" t="s">
        <v>23</v>
      </c>
      <c r="C24" s="14">
        <v>1.5062355000000003</v>
      </c>
      <c r="E24" s="10">
        <v>79.490250000000003</v>
      </c>
      <c r="G24" s="59"/>
      <c r="H24" s="60"/>
    </row>
    <row r="25" spans="1:8" x14ac:dyDescent="0.2">
      <c r="A25" s="9">
        <v>24</v>
      </c>
      <c r="B25" s="7" t="s">
        <v>24</v>
      </c>
      <c r="C25" s="14">
        <v>1.3752585000000004</v>
      </c>
      <c r="E25" s="10">
        <v>73.812375000000017</v>
      </c>
      <c r="G25" s="59"/>
      <c r="H25" s="60"/>
    </row>
    <row r="26" spans="1:8" x14ac:dyDescent="0.2">
      <c r="A26" s="9">
        <v>25</v>
      </c>
      <c r="B26" s="7" t="s">
        <v>25</v>
      </c>
      <c r="C26" s="14">
        <v>1.8991665000000002</v>
      </c>
      <c r="E26" s="10">
        <v>85.168125000000003</v>
      </c>
      <c r="G26" s="59"/>
      <c r="H26" s="60"/>
    </row>
    <row r="27" spans="1:8" x14ac:dyDescent="0.2">
      <c r="A27" s="9">
        <v>26</v>
      </c>
      <c r="B27" s="7" t="s">
        <v>26</v>
      </c>
      <c r="C27" s="14">
        <v>1.5717240000000006</v>
      </c>
      <c r="E27" s="10">
        <v>113.5575</v>
      </c>
      <c r="G27" s="59"/>
      <c r="H27" s="60"/>
    </row>
    <row r="28" spans="1:8" x14ac:dyDescent="0.2">
      <c r="A28" s="9">
        <v>27</v>
      </c>
      <c r="B28" s="7" t="s">
        <v>27</v>
      </c>
      <c r="C28" s="14">
        <v>1.7027010000000007</v>
      </c>
      <c r="E28" s="10">
        <v>90.846000000000004</v>
      </c>
      <c r="G28" s="59"/>
      <c r="H28" s="60"/>
    </row>
    <row r="29" spans="1:8" x14ac:dyDescent="0.2">
      <c r="A29" s="9">
        <v>28</v>
      </c>
      <c r="B29" s="7" t="s">
        <v>28</v>
      </c>
      <c r="C29" s="14">
        <v>1.7027010000000007</v>
      </c>
      <c r="E29" s="10">
        <v>90.846000000000004</v>
      </c>
      <c r="G29" s="59"/>
      <c r="H29" s="60"/>
    </row>
    <row r="30" spans="1:8" x14ac:dyDescent="0.2">
      <c r="A30" s="9">
        <v>29</v>
      </c>
      <c r="B30" s="7" t="s">
        <v>29</v>
      </c>
      <c r="C30" s="14">
        <v>1.5062355000000003</v>
      </c>
      <c r="E30" s="10">
        <v>119.235375</v>
      </c>
      <c r="G30" s="59"/>
      <c r="H30" s="60"/>
    </row>
    <row r="31" spans="1:8" x14ac:dyDescent="0.2">
      <c r="A31" s="9">
        <v>30</v>
      </c>
      <c r="B31" s="7" t="s">
        <v>30</v>
      </c>
      <c r="C31" s="10">
        <v>1.4407470000000004</v>
      </c>
      <c r="E31" s="10">
        <v>113.5575</v>
      </c>
      <c r="G31" s="59"/>
      <c r="H31" s="60"/>
    </row>
    <row r="32" spans="1:8" x14ac:dyDescent="0.2">
      <c r="A32" s="9">
        <v>31</v>
      </c>
      <c r="B32" s="7" t="s">
        <v>31</v>
      </c>
      <c r="C32" s="14">
        <v>1.4407470000000004</v>
      </c>
      <c r="E32" s="10">
        <v>124.91325000000002</v>
      </c>
      <c r="G32" s="59"/>
      <c r="H32" s="60"/>
    </row>
    <row r="33" spans="1:8" x14ac:dyDescent="0.2">
      <c r="A33" s="9">
        <v>32</v>
      </c>
      <c r="B33" s="7" t="s">
        <v>32</v>
      </c>
      <c r="C33" s="14">
        <v>1.3097700000000001</v>
      </c>
      <c r="E33" s="10">
        <v>113.5575</v>
      </c>
      <c r="G33" s="59"/>
      <c r="H33" s="60"/>
    </row>
    <row r="34" spans="1:8" x14ac:dyDescent="0.2">
      <c r="A34" s="9">
        <v>33</v>
      </c>
      <c r="B34" s="7" t="s">
        <v>33</v>
      </c>
      <c r="C34" s="10">
        <v>1.4407470000000004</v>
      </c>
      <c r="E34" s="10">
        <v>102.20175000000002</v>
      </c>
      <c r="G34" s="59"/>
      <c r="H34" s="60"/>
    </row>
    <row r="35" spans="1:8" x14ac:dyDescent="0.2">
      <c r="A35" s="9">
        <v>34</v>
      </c>
      <c r="B35" s="7" t="s">
        <v>34</v>
      </c>
      <c r="C35" s="14">
        <v>1.3097700000000001</v>
      </c>
      <c r="E35" s="10">
        <v>113.5575</v>
      </c>
      <c r="G35" s="59"/>
      <c r="H35" s="60"/>
    </row>
    <row r="36" spans="1:8" x14ac:dyDescent="0.2">
      <c r="A36" s="9">
        <v>35</v>
      </c>
      <c r="B36" s="7" t="s">
        <v>35</v>
      </c>
      <c r="C36" s="14">
        <v>1.5062355000000003</v>
      </c>
      <c r="E36" s="10">
        <v>102.20175000000002</v>
      </c>
      <c r="G36" s="59"/>
      <c r="H36" s="60"/>
    </row>
    <row r="37" spans="1:8" x14ac:dyDescent="0.2">
      <c r="A37" s="9">
        <v>36</v>
      </c>
      <c r="B37" s="7" t="s">
        <v>36</v>
      </c>
      <c r="C37" s="14">
        <v>1.6372125000000004</v>
      </c>
      <c r="E37" s="10">
        <v>85.168125000000003</v>
      </c>
      <c r="G37" s="59"/>
      <c r="H37" s="60"/>
    </row>
    <row r="38" spans="1:8" x14ac:dyDescent="0.2">
      <c r="A38" s="9">
        <v>37</v>
      </c>
      <c r="B38" s="7" t="s">
        <v>37</v>
      </c>
      <c r="C38" s="10">
        <v>1.4407470000000004</v>
      </c>
      <c r="E38" s="10">
        <v>102.20175000000002</v>
      </c>
      <c r="G38" s="59"/>
      <c r="H38" s="60"/>
    </row>
    <row r="39" spans="1:8" x14ac:dyDescent="0.2">
      <c r="A39" s="9">
        <v>38</v>
      </c>
      <c r="B39" s="7" t="s">
        <v>38</v>
      </c>
      <c r="C39" s="14">
        <v>1.7027010000000007</v>
      </c>
      <c r="E39" s="10">
        <v>79.490250000000003</v>
      </c>
      <c r="G39" s="59"/>
      <c r="H39" s="60"/>
    </row>
    <row r="40" spans="1:8" x14ac:dyDescent="0.2">
      <c r="A40" s="9">
        <v>39</v>
      </c>
      <c r="B40" s="7" t="s">
        <v>39</v>
      </c>
      <c r="C40" s="14">
        <v>1.8991665000000002</v>
      </c>
      <c r="E40" s="10">
        <v>85.168125000000003</v>
      </c>
      <c r="G40" s="59"/>
      <c r="H40" s="60"/>
    </row>
    <row r="41" spans="1:8" x14ac:dyDescent="0.2">
      <c r="A41" s="9">
        <v>40</v>
      </c>
      <c r="B41" s="7" t="s">
        <v>40</v>
      </c>
      <c r="C41" s="14">
        <v>1.3097700000000001</v>
      </c>
      <c r="E41" s="10">
        <v>113.5575</v>
      </c>
      <c r="G41" s="59"/>
      <c r="H41" s="60"/>
    </row>
    <row r="42" spans="1:8" x14ac:dyDescent="0.2">
      <c r="A42" s="9">
        <v>41</v>
      </c>
      <c r="B42" s="7" t="s">
        <v>41</v>
      </c>
      <c r="C42" s="14">
        <v>1.5717240000000006</v>
      </c>
      <c r="E42" s="10">
        <v>68.134500000000003</v>
      </c>
      <c r="G42" s="59"/>
      <c r="H42" s="60"/>
    </row>
    <row r="43" spans="1:8" x14ac:dyDescent="0.2">
      <c r="A43" s="9">
        <v>42</v>
      </c>
      <c r="B43" s="7" t="s">
        <v>42</v>
      </c>
      <c r="C43" s="14">
        <v>1.6372125000000004</v>
      </c>
      <c r="E43" s="10">
        <v>73.812375000000017</v>
      </c>
      <c r="G43" s="59"/>
      <c r="H43" s="60"/>
    </row>
    <row r="44" spans="1:8" x14ac:dyDescent="0.2">
      <c r="A44" s="9">
        <v>43</v>
      </c>
      <c r="B44" s="7" t="s">
        <v>43</v>
      </c>
      <c r="C44" s="14">
        <v>1.6372125000000004</v>
      </c>
      <c r="E44" s="10">
        <v>73.812375000000017</v>
      </c>
      <c r="G44" s="59"/>
      <c r="H44" s="60"/>
    </row>
    <row r="45" spans="1:8" x14ac:dyDescent="0.2">
      <c r="A45" s="9">
        <v>44</v>
      </c>
      <c r="B45" s="7" t="s">
        <v>44</v>
      </c>
      <c r="C45" s="10">
        <v>1.4407470000000004</v>
      </c>
      <c r="E45" s="10">
        <v>79.490250000000003</v>
      </c>
      <c r="G45" s="59"/>
      <c r="H45" s="60"/>
    </row>
    <row r="46" spans="1:8" x14ac:dyDescent="0.2">
      <c r="A46" s="9">
        <v>45</v>
      </c>
      <c r="B46" s="7" t="s">
        <v>45</v>
      </c>
      <c r="C46" s="14">
        <v>1.7027010000000007</v>
      </c>
      <c r="E46" s="10">
        <v>73.812375000000017</v>
      </c>
      <c r="G46" s="59"/>
      <c r="H46" s="60"/>
    </row>
    <row r="47" spans="1:8" x14ac:dyDescent="0.2">
      <c r="A47" s="9">
        <v>46</v>
      </c>
      <c r="B47" s="7" t="s">
        <v>46</v>
      </c>
      <c r="C47" s="10">
        <v>1.4407470000000004</v>
      </c>
      <c r="E47" s="10">
        <v>113.5575</v>
      </c>
      <c r="G47" s="59"/>
      <c r="H47" s="60"/>
    </row>
    <row r="48" spans="1:8" x14ac:dyDescent="0.2">
      <c r="A48" s="9">
        <v>47</v>
      </c>
      <c r="B48" s="7" t="s">
        <v>47</v>
      </c>
      <c r="C48" s="10">
        <v>1.4407470000000004</v>
      </c>
      <c r="E48" s="10">
        <v>113.5575</v>
      </c>
      <c r="G48" s="59"/>
      <c r="H48" s="60"/>
    </row>
    <row r="49" spans="1:8" x14ac:dyDescent="0.2">
      <c r="A49" s="9">
        <v>48</v>
      </c>
      <c r="B49" s="7" t="s">
        <v>48</v>
      </c>
      <c r="C49" s="10">
        <v>1.4407470000000004</v>
      </c>
      <c r="E49" s="10">
        <v>113.5575</v>
      </c>
      <c r="G49" s="59"/>
      <c r="H49" s="60"/>
    </row>
    <row r="50" spans="1:8" x14ac:dyDescent="0.2">
      <c r="A50" s="9">
        <v>49</v>
      </c>
      <c r="B50" s="7" t="s">
        <v>49</v>
      </c>
      <c r="C50" s="14">
        <v>1.5717240000000006</v>
      </c>
      <c r="E50" s="10">
        <v>102.20175000000002</v>
      </c>
      <c r="G50" s="59"/>
      <c r="H50" s="60"/>
    </row>
    <row r="51" spans="1:8" x14ac:dyDescent="0.2">
      <c r="A51" s="9">
        <v>50</v>
      </c>
      <c r="B51" s="7" t="s">
        <v>50</v>
      </c>
      <c r="C51" s="14">
        <v>1.7027010000000007</v>
      </c>
      <c r="E51" s="10">
        <v>90.846000000000004</v>
      </c>
      <c r="G51" s="59"/>
      <c r="H51" s="60"/>
    </row>
    <row r="52" spans="1:8" x14ac:dyDescent="0.2">
      <c r="A52" s="9">
        <v>51</v>
      </c>
      <c r="B52" s="7" t="s">
        <v>51</v>
      </c>
      <c r="C52" s="14">
        <v>1.7681895000000007</v>
      </c>
      <c r="E52" s="10">
        <v>96.523875000000004</v>
      </c>
      <c r="G52" s="59"/>
      <c r="H52" s="60"/>
    </row>
    <row r="53" spans="1:8" x14ac:dyDescent="0.2">
      <c r="A53" s="9">
        <v>52</v>
      </c>
      <c r="B53" s="7" t="s">
        <v>52</v>
      </c>
      <c r="C53" s="14">
        <v>1.7681895000000007</v>
      </c>
      <c r="E53" s="10">
        <v>79.490250000000003</v>
      </c>
      <c r="G53" s="59"/>
      <c r="H53" s="60"/>
    </row>
    <row r="54" spans="1:8" x14ac:dyDescent="0.2">
      <c r="A54" s="9">
        <v>53</v>
      </c>
      <c r="B54" s="7" t="s">
        <v>53</v>
      </c>
      <c r="C54" s="14">
        <v>1.6372125000000004</v>
      </c>
      <c r="E54" s="10">
        <v>113.5575</v>
      </c>
      <c r="G54" s="59"/>
      <c r="H54" s="60"/>
    </row>
    <row r="55" spans="1:8" x14ac:dyDescent="0.2">
      <c r="A55" s="9">
        <v>54</v>
      </c>
      <c r="B55" s="7" t="s">
        <v>54</v>
      </c>
      <c r="C55" s="14">
        <v>1.8991665000000002</v>
      </c>
      <c r="E55" s="10">
        <v>85.168125000000003</v>
      </c>
      <c r="G55" s="59"/>
      <c r="H55" s="60"/>
    </row>
    <row r="56" spans="1:8" x14ac:dyDescent="0.2">
      <c r="A56" s="9">
        <v>55</v>
      </c>
      <c r="B56" s="7" t="s">
        <v>55</v>
      </c>
      <c r="C56" s="14">
        <v>1.8991665000000002</v>
      </c>
      <c r="E56" s="10">
        <v>85.168125000000003</v>
      </c>
      <c r="G56" s="59"/>
      <c r="H56" s="60"/>
    </row>
    <row r="57" spans="1:8" x14ac:dyDescent="0.2">
      <c r="A57" s="9">
        <v>56</v>
      </c>
      <c r="B57" s="7" t="s">
        <v>56</v>
      </c>
      <c r="C57" s="14">
        <v>1.6372125000000004</v>
      </c>
      <c r="E57" s="10">
        <v>130.59112500000001</v>
      </c>
      <c r="G57" s="59"/>
      <c r="H57" s="60"/>
    </row>
    <row r="58" spans="1:8" x14ac:dyDescent="0.2">
      <c r="A58" s="9">
        <v>57</v>
      </c>
      <c r="B58" s="7" t="s">
        <v>57</v>
      </c>
      <c r="C58" s="14">
        <v>2.0301435000000003</v>
      </c>
      <c r="E58" s="10">
        <v>90.846000000000004</v>
      </c>
      <c r="G58" s="59"/>
      <c r="H58" s="60"/>
    </row>
    <row r="59" spans="1:8" x14ac:dyDescent="0.2">
      <c r="A59" s="9">
        <v>58</v>
      </c>
      <c r="B59" s="7" t="s">
        <v>58</v>
      </c>
      <c r="C59" s="14">
        <v>1.7027010000000007</v>
      </c>
      <c r="E59" s="10">
        <v>90.846000000000004</v>
      </c>
      <c r="G59" s="59"/>
      <c r="H59" s="60"/>
    </row>
    <row r="60" spans="1:8" x14ac:dyDescent="0.2">
      <c r="A60" s="9">
        <v>59</v>
      </c>
      <c r="B60" s="7" t="s">
        <v>59</v>
      </c>
      <c r="C60" s="14">
        <v>1.8336780000000004</v>
      </c>
      <c r="E60" s="10">
        <v>79.490250000000003</v>
      </c>
      <c r="G60" s="59"/>
      <c r="H60" s="60"/>
    </row>
    <row r="61" spans="1:8" x14ac:dyDescent="0.2">
      <c r="A61" s="9">
        <v>60</v>
      </c>
      <c r="B61" s="7" t="s">
        <v>60</v>
      </c>
      <c r="C61" s="14">
        <v>1.7027010000000007</v>
      </c>
      <c r="E61" s="10">
        <v>73.812375000000017</v>
      </c>
      <c r="G61" s="59"/>
      <c r="H61" s="60"/>
    </row>
    <row r="62" spans="1:8" x14ac:dyDescent="0.2">
      <c r="A62" s="9">
        <v>61</v>
      </c>
      <c r="B62" s="7" t="s">
        <v>61</v>
      </c>
      <c r="C62" s="14">
        <v>1.7027010000000007</v>
      </c>
      <c r="E62" s="10">
        <v>73.812375000000017</v>
      </c>
      <c r="G62" s="59"/>
      <c r="H62" s="60"/>
    </row>
    <row r="63" spans="1:8" x14ac:dyDescent="0.2">
      <c r="A63" s="9">
        <v>62</v>
      </c>
      <c r="B63" s="7" t="s">
        <v>62</v>
      </c>
      <c r="C63" s="14">
        <v>1.8336780000000004</v>
      </c>
      <c r="E63" s="10">
        <v>79.490250000000003</v>
      </c>
      <c r="G63" s="59"/>
      <c r="H63" s="60"/>
    </row>
    <row r="64" spans="1:8" x14ac:dyDescent="0.2">
      <c r="A64" s="9">
        <v>63</v>
      </c>
      <c r="B64" s="7" t="s">
        <v>63</v>
      </c>
      <c r="C64" s="14">
        <v>1.7027010000000007</v>
      </c>
      <c r="E64" s="10">
        <v>73.812375000000017</v>
      </c>
      <c r="G64" s="59"/>
      <c r="H64" s="60"/>
    </row>
    <row r="65" spans="1:8" x14ac:dyDescent="0.2">
      <c r="A65" s="9">
        <v>64</v>
      </c>
      <c r="B65" s="7" t="s">
        <v>64</v>
      </c>
      <c r="C65" s="14">
        <v>1.3752585000000004</v>
      </c>
      <c r="E65" s="10">
        <v>107.87962500000002</v>
      </c>
      <c r="G65" s="59"/>
      <c r="H65" s="60"/>
    </row>
    <row r="66" spans="1:8" x14ac:dyDescent="0.2">
      <c r="A66" s="9">
        <v>65</v>
      </c>
      <c r="B66" s="7" t="s">
        <v>65</v>
      </c>
      <c r="C66" s="14">
        <v>1.3752585000000004</v>
      </c>
      <c r="E66" s="10">
        <v>107.87962500000002</v>
      </c>
      <c r="G66" s="59"/>
      <c r="H66" s="60"/>
    </row>
    <row r="67" spans="1:8" x14ac:dyDescent="0.2">
      <c r="A67" s="9">
        <v>66</v>
      </c>
      <c r="B67" s="7" t="s">
        <v>66</v>
      </c>
      <c r="C67" s="14">
        <v>1.3752585000000004</v>
      </c>
      <c r="E67" s="10">
        <v>107.87962500000002</v>
      </c>
      <c r="G67" s="59"/>
      <c r="H67" s="60"/>
    </row>
    <row r="68" spans="1:8" x14ac:dyDescent="0.2">
      <c r="A68" s="9">
        <v>67</v>
      </c>
      <c r="B68" s="7" t="s">
        <v>67</v>
      </c>
      <c r="C68" s="14">
        <v>2.0301435000000003</v>
      </c>
      <c r="E68" s="10">
        <v>90.846000000000004</v>
      </c>
      <c r="G68" s="59"/>
      <c r="H68" s="60"/>
    </row>
    <row r="69" spans="1:8" x14ac:dyDescent="0.2">
      <c r="A69" s="9">
        <v>68</v>
      </c>
      <c r="B69" s="7" t="s">
        <v>68</v>
      </c>
      <c r="C69" s="14">
        <v>2.0301435000000003</v>
      </c>
      <c r="E69" s="10">
        <v>90.846000000000004</v>
      </c>
      <c r="G69" s="59"/>
      <c r="H69" s="60"/>
    </row>
    <row r="70" spans="1:8" x14ac:dyDescent="0.2">
      <c r="A70" s="9">
        <v>69</v>
      </c>
      <c r="B70" s="7" t="s">
        <v>69</v>
      </c>
      <c r="C70" s="14">
        <v>1.7027010000000007</v>
      </c>
      <c r="E70" s="10">
        <v>73.812375000000017</v>
      </c>
      <c r="G70" s="59"/>
      <c r="H70" s="60"/>
    </row>
    <row r="71" spans="1:8" x14ac:dyDescent="0.2">
      <c r="A71" s="9">
        <v>70</v>
      </c>
      <c r="B71" s="7" t="s">
        <v>70</v>
      </c>
      <c r="C71" s="14">
        <v>1.8991665000000002</v>
      </c>
      <c r="E71" s="10">
        <v>90.846000000000004</v>
      </c>
      <c r="G71" s="59"/>
      <c r="H71" s="60"/>
    </row>
    <row r="72" spans="1:8" x14ac:dyDescent="0.2">
      <c r="A72" s="9">
        <v>71</v>
      </c>
      <c r="B72" s="7" t="s">
        <v>71</v>
      </c>
      <c r="C72" s="14">
        <v>1.7027010000000007</v>
      </c>
      <c r="E72" s="10">
        <v>90.846000000000004</v>
      </c>
      <c r="G72" s="59"/>
      <c r="H72" s="60"/>
    </row>
    <row r="73" spans="1:8" x14ac:dyDescent="0.2">
      <c r="A73" s="9">
        <v>72</v>
      </c>
      <c r="B73" s="7" t="s">
        <v>72</v>
      </c>
      <c r="C73" s="14">
        <v>1.5717240000000006</v>
      </c>
      <c r="E73" s="10">
        <v>90.846000000000004</v>
      </c>
      <c r="G73" s="59"/>
      <c r="H73" s="60"/>
    </row>
    <row r="74" spans="1:8" x14ac:dyDescent="0.2">
      <c r="A74" s="9">
        <v>73</v>
      </c>
      <c r="B74" s="7" t="s">
        <v>73</v>
      </c>
      <c r="C74" s="14">
        <v>1.7027010000000007</v>
      </c>
      <c r="E74" s="10">
        <v>73.812375000000017</v>
      </c>
      <c r="G74" s="59"/>
      <c r="H74" s="60"/>
    </row>
    <row r="75" spans="1:8" x14ac:dyDescent="0.2">
      <c r="A75" s="9">
        <v>74</v>
      </c>
      <c r="B75" s="7" t="s">
        <v>74</v>
      </c>
      <c r="C75" s="14">
        <v>1.7027010000000007</v>
      </c>
      <c r="E75" s="10">
        <v>73.812375000000017</v>
      </c>
      <c r="G75" s="59"/>
      <c r="H75" s="60"/>
    </row>
    <row r="76" spans="1:8" x14ac:dyDescent="0.2">
      <c r="A76" s="9">
        <v>75</v>
      </c>
      <c r="B76" s="7" t="s">
        <v>75</v>
      </c>
      <c r="C76" s="10">
        <v>1.4407470000000004</v>
      </c>
      <c r="E76" s="10">
        <v>79.490250000000003</v>
      </c>
      <c r="G76" s="59"/>
      <c r="H76" s="60"/>
    </row>
    <row r="77" spans="1:8" x14ac:dyDescent="0.2">
      <c r="A77" s="9">
        <v>76</v>
      </c>
      <c r="B77" s="7" t="s">
        <v>76</v>
      </c>
      <c r="C77" s="14">
        <v>1.7681895000000007</v>
      </c>
      <c r="E77" s="10">
        <v>90.846000000000004</v>
      </c>
      <c r="G77" s="59"/>
      <c r="H77" s="60"/>
    </row>
    <row r="78" spans="1:8" x14ac:dyDescent="0.2">
      <c r="A78" s="9">
        <v>77</v>
      </c>
      <c r="B78" s="7" t="s">
        <v>77</v>
      </c>
      <c r="C78" s="14">
        <v>1.7027010000000007</v>
      </c>
      <c r="E78" s="10">
        <v>90.846000000000004</v>
      </c>
      <c r="G78" s="59"/>
      <c r="H78" s="60"/>
    </row>
    <row r="79" spans="1:8" x14ac:dyDescent="0.2">
      <c r="A79" s="9">
        <v>78</v>
      </c>
      <c r="B79" s="7" t="s">
        <v>78</v>
      </c>
      <c r="C79" s="14">
        <v>1.7027010000000007</v>
      </c>
      <c r="E79" s="10">
        <v>90.846000000000004</v>
      </c>
      <c r="G79" s="59"/>
      <c r="H79" s="60"/>
    </row>
    <row r="80" spans="1:8" x14ac:dyDescent="0.2">
      <c r="A80" s="9">
        <v>79</v>
      </c>
      <c r="B80" s="7" t="s">
        <v>79</v>
      </c>
      <c r="C80" s="10">
        <v>1.4407470000000004</v>
      </c>
      <c r="E80" s="10">
        <v>113.5575</v>
      </c>
      <c r="G80" s="59"/>
      <c r="H80" s="60"/>
    </row>
    <row r="81" spans="1:8" x14ac:dyDescent="0.2">
      <c r="A81" s="9">
        <v>80</v>
      </c>
      <c r="B81" s="7" t="s">
        <v>80</v>
      </c>
      <c r="C81" s="14">
        <v>1.8336780000000004</v>
      </c>
      <c r="E81" s="10">
        <v>79.490250000000003</v>
      </c>
      <c r="G81" s="59"/>
      <c r="H81" s="60"/>
    </row>
    <row r="82" spans="1:8" x14ac:dyDescent="0.2">
      <c r="A82" s="9">
        <v>81</v>
      </c>
      <c r="B82" s="7" t="s">
        <v>81</v>
      </c>
      <c r="C82" s="14">
        <v>1.3752585000000004</v>
      </c>
      <c r="E82" s="10">
        <v>119.235375</v>
      </c>
      <c r="G82" s="59"/>
      <c r="H82" s="60"/>
    </row>
    <row r="83" spans="1:8" x14ac:dyDescent="0.2">
      <c r="A83" s="9">
        <v>82</v>
      </c>
      <c r="B83" s="7" t="s">
        <v>82</v>
      </c>
      <c r="C83" s="14">
        <v>1.3752585000000004</v>
      </c>
      <c r="E83" s="10">
        <v>119.235375</v>
      </c>
      <c r="G83" s="59"/>
      <c r="H83" s="60"/>
    </row>
    <row r="84" spans="1:8" x14ac:dyDescent="0.2">
      <c r="A84" s="9">
        <v>83</v>
      </c>
      <c r="B84" s="7" t="s">
        <v>83</v>
      </c>
      <c r="C84" s="14">
        <v>1.3752585000000004</v>
      </c>
      <c r="E84" s="10">
        <v>119.235375</v>
      </c>
      <c r="G84" s="59"/>
      <c r="H84" s="60"/>
    </row>
    <row r="85" spans="1:8" x14ac:dyDescent="0.2">
      <c r="A85" s="9">
        <v>84</v>
      </c>
      <c r="B85" s="7" t="s">
        <v>84</v>
      </c>
      <c r="C85" s="14">
        <v>1.3752585000000004</v>
      </c>
      <c r="E85" s="10">
        <v>113.5575</v>
      </c>
      <c r="G85" s="59"/>
      <c r="H85" s="60"/>
    </row>
    <row r="86" spans="1:8" x14ac:dyDescent="0.2">
      <c r="A86" s="9">
        <v>85</v>
      </c>
      <c r="B86" s="7" t="s">
        <v>85</v>
      </c>
      <c r="C86" s="10">
        <v>1.4407470000000004</v>
      </c>
      <c r="E86" s="10">
        <v>102.20175000000002</v>
      </c>
      <c r="G86" s="59"/>
      <c r="H86" s="60"/>
    </row>
    <row r="87" spans="1:8" x14ac:dyDescent="0.2">
      <c r="A87" s="9">
        <v>86</v>
      </c>
      <c r="B87" s="7" t="s">
        <v>86</v>
      </c>
      <c r="C87" s="10">
        <v>1.4407470000000004</v>
      </c>
      <c r="E87" s="10">
        <v>102.20175000000002</v>
      </c>
      <c r="G87" s="59"/>
      <c r="H87" s="60"/>
    </row>
    <row r="88" spans="1:8" x14ac:dyDescent="0.2">
      <c r="A88" s="9">
        <v>87</v>
      </c>
      <c r="B88" s="7" t="s">
        <v>87</v>
      </c>
      <c r="C88" s="14">
        <v>1.6372125000000004</v>
      </c>
      <c r="E88" s="10">
        <v>85.168125000000003</v>
      </c>
      <c r="G88" s="59"/>
      <c r="H88" s="60"/>
    </row>
    <row r="89" spans="1:8" x14ac:dyDescent="0.2">
      <c r="A89" s="9">
        <v>88</v>
      </c>
      <c r="B89" s="7" t="s">
        <v>88</v>
      </c>
      <c r="C89" s="14">
        <v>1.8336780000000004</v>
      </c>
      <c r="E89" s="10">
        <v>79.490250000000003</v>
      </c>
      <c r="G89" s="59"/>
      <c r="H89" s="60"/>
    </row>
    <row r="90" spans="1:8" x14ac:dyDescent="0.2">
      <c r="A90" s="9">
        <v>89</v>
      </c>
      <c r="B90" s="7" t="s">
        <v>89</v>
      </c>
      <c r="C90" s="14">
        <v>1.7027010000000007</v>
      </c>
      <c r="E90" s="10">
        <v>73.812375000000017</v>
      </c>
      <c r="G90" s="59"/>
      <c r="H90" s="60"/>
    </row>
    <row r="91" spans="1:8" x14ac:dyDescent="0.2">
      <c r="A91" s="9">
        <v>90</v>
      </c>
      <c r="B91" s="7" t="s">
        <v>90</v>
      </c>
      <c r="C91" s="14">
        <v>1.8336780000000004</v>
      </c>
      <c r="E91" s="10">
        <v>79.490250000000003</v>
      </c>
      <c r="G91" s="59"/>
      <c r="H91" s="60"/>
    </row>
    <row r="92" spans="1:8" x14ac:dyDescent="0.2">
      <c r="A92" s="9">
        <v>91</v>
      </c>
      <c r="B92" s="7" t="s">
        <v>91</v>
      </c>
      <c r="C92" s="14">
        <v>1.7027010000000007</v>
      </c>
      <c r="E92" s="10">
        <v>90.846000000000004</v>
      </c>
      <c r="G92" s="59"/>
      <c r="H92" s="60"/>
    </row>
    <row r="93" spans="1:8" x14ac:dyDescent="0.2">
      <c r="A93" s="9">
        <v>92</v>
      </c>
      <c r="B93" s="7" t="s">
        <v>92</v>
      </c>
      <c r="C93" s="14">
        <v>1.7027010000000007</v>
      </c>
      <c r="E93" s="10">
        <v>90.846000000000004</v>
      </c>
      <c r="G93" s="59"/>
      <c r="H93" s="60"/>
    </row>
    <row r="94" spans="1:8" x14ac:dyDescent="0.2">
      <c r="A94" s="9">
        <v>93</v>
      </c>
      <c r="B94" s="7" t="s">
        <v>93</v>
      </c>
      <c r="C94" s="14">
        <v>1.7027010000000007</v>
      </c>
      <c r="E94" s="10">
        <v>90.846000000000004</v>
      </c>
      <c r="G94" s="59"/>
      <c r="H94" s="60"/>
    </row>
    <row r="95" spans="1:8" x14ac:dyDescent="0.2">
      <c r="A95" s="9">
        <v>94</v>
      </c>
      <c r="B95" s="7" t="s">
        <v>94</v>
      </c>
      <c r="C95" s="14">
        <v>1.7027010000000007</v>
      </c>
      <c r="E95" s="10">
        <v>90.846000000000004</v>
      </c>
      <c r="G95" s="59"/>
      <c r="H95" s="60"/>
    </row>
    <row r="96" spans="1:8" x14ac:dyDescent="0.2">
      <c r="A96" s="9">
        <v>95</v>
      </c>
      <c r="B96" s="7" t="s">
        <v>95</v>
      </c>
      <c r="C96" s="14">
        <v>1.7027010000000007</v>
      </c>
      <c r="E96" s="10">
        <v>90.846000000000004</v>
      </c>
      <c r="G96" s="59"/>
      <c r="H96" s="60"/>
    </row>
  </sheetData>
  <sortState xmlns:xlrd2="http://schemas.microsoft.com/office/spreadsheetml/2017/richdata2" ref="A3:E96">
    <sortCondition ref="A3:A9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3" tint="0.59999389629810485"/>
  </sheetPr>
  <dimension ref="A1:X71"/>
  <sheetViews>
    <sheetView workbookViewId="0">
      <selection activeCell="C36" sqref="C36"/>
    </sheetView>
  </sheetViews>
  <sheetFormatPr baseColWidth="10" defaultRowHeight="12.75" x14ac:dyDescent="0.2"/>
  <cols>
    <col min="3" max="3" width="15" bestFit="1" customWidth="1"/>
    <col min="4" max="7" width="15" customWidth="1"/>
    <col min="9" max="9" width="12.28515625" bestFit="1" customWidth="1"/>
    <col min="11" max="11" width="17.42578125" bestFit="1" customWidth="1"/>
    <col min="13" max="14" width="17.42578125" customWidth="1"/>
    <col min="15" max="15" width="16.28515625" bestFit="1" customWidth="1"/>
    <col min="17" max="18" width="16.28515625" customWidth="1"/>
  </cols>
  <sheetData>
    <row r="1" spans="1:24" ht="13.5" thickBot="1" x14ac:dyDescent="0.25">
      <c r="A1" s="39" t="s">
        <v>98</v>
      </c>
      <c r="B1" s="13"/>
      <c r="C1" s="15"/>
      <c r="D1" s="15"/>
      <c r="E1" s="15"/>
      <c r="F1" s="15"/>
      <c r="G1" s="15"/>
      <c r="J1" s="13"/>
      <c r="K1" s="15"/>
      <c r="M1" s="15"/>
      <c r="N1" s="15"/>
      <c r="O1" s="15"/>
      <c r="Q1" s="15"/>
      <c r="R1" s="15"/>
      <c r="S1" s="15"/>
      <c r="U1" s="15"/>
      <c r="V1" s="15"/>
      <c r="W1" s="15"/>
    </row>
    <row r="2" spans="1:24" ht="18.75" x14ac:dyDescent="0.3">
      <c r="A2" s="61" t="s">
        <v>153</v>
      </c>
      <c r="B2" s="62"/>
      <c r="C2" s="63"/>
      <c r="D2" s="51"/>
      <c r="E2" s="61" t="s">
        <v>175</v>
      </c>
      <c r="F2" s="62"/>
      <c r="G2" s="63"/>
      <c r="I2" s="61" t="s">
        <v>154</v>
      </c>
      <c r="J2" s="62"/>
      <c r="K2" s="63"/>
      <c r="M2" s="61" t="s">
        <v>155</v>
      </c>
      <c r="N2" s="62"/>
      <c r="O2" s="63"/>
      <c r="Q2" s="61" t="s">
        <v>156</v>
      </c>
      <c r="R2" s="62"/>
      <c r="S2" s="63"/>
      <c r="U2" s="61" t="s">
        <v>157</v>
      </c>
      <c r="V2" s="62"/>
      <c r="W2" s="63"/>
    </row>
    <row r="3" spans="1:24" x14ac:dyDescent="0.2">
      <c r="A3" s="40" t="s">
        <v>96</v>
      </c>
      <c r="B3" s="40" t="s">
        <v>97</v>
      </c>
      <c r="C3" s="41" t="s">
        <v>176</v>
      </c>
      <c r="D3" s="13"/>
      <c r="E3" s="40" t="s">
        <v>96</v>
      </c>
      <c r="F3" s="40" t="s">
        <v>97</v>
      </c>
      <c r="G3" s="41" t="s">
        <v>176</v>
      </c>
      <c r="I3" s="40" t="s">
        <v>96</v>
      </c>
      <c r="J3" s="40" t="s">
        <v>97</v>
      </c>
      <c r="K3" s="41" t="s">
        <v>176</v>
      </c>
      <c r="M3" s="40" t="s">
        <v>96</v>
      </c>
      <c r="N3" s="40" t="s">
        <v>97</v>
      </c>
      <c r="O3" s="41" t="s">
        <v>176</v>
      </c>
      <c r="Q3" s="40" t="s">
        <v>96</v>
      </c>
      <c r="R3" s="40" t="s">
        <v>97</v>
      </c>
      <c r="S3" s="41" t="s">
        <v>176</v>
      </c>
      <c r="U3" s="40" t="s">
        <v>96</v>
      </c>
      <c r="V3" s="40" t="s">
        <v>97</v>
      </c>
      <c r="W3" s="41" t="s">
        <v>176</v>
      </c>
    </row>
    <row r="4" spans="1:24" x14ac:dyDescent="0.2">
      <c r="A4" s="40">
        <v>0.4</v>
      </c>
      <c r="B4" s="40">
        <v>0.6</v>
      </c>
      <c r="C4" s="40">
        <v>1</v>
      </c>
      <c r="D4" s="13"/>
      <c r="E4" s="45">
        <v>0.33333333333333331</v>
      </c>
      <c r="F4" s="40">
        <v>0.5</v>
      </c>
      <c r="G4" s="43">
        <v>1</v>
      </c>
      <c r="I4" s="42">
        <v>0.5</v>
      </c>
      <c r="J4" s="40">
        <v>0.7</v>
      </c>
      <c r="K4" s="43">
        <v>1</v>
      </c>
      <c r="M4" s="41">
        <v>0.6</v>
      </c>
      <c r="N4" s="41">
        <v>0.8</v>
      </c>
      <c r="O4" s="43">
        <v>1</v>
      </c>
      <c r="Q4" s="44">
        <v>0.8</v>
      </c>
      <c r="R4" s="44">
        <v>0.9</v>
      </c>
      <c r="S4" s="43">
        <v>1</v>
      </c>
      <c r="U4" s="44">
        <v>0.2</v>
      </c>
      <c r="V4" s="44">
        <v>0.3</v>
      </c>
      <c r="W4" s="43">
        <v>1</v>
      </c>
      <c r="X4" s="52"/>
    </row>
    <row r="5" spans="1:24" x14ac:dyDescent="0.2">
      <c r="A5" s="40">
        <v>0.8</v>
      </c>
      <c r="B5" s="40">
        <v>1.2</v>
      </c>
      <c r="C5" s="40">
        <v>2</v>
      </c>
      <c r="D5" s="13"/>
      <c r="E5" s="45">
        <v>0.66666666666666663</v>
      </c>
      <c r="F5" s="40">
        <v>1</v>
      </c>
      <c r="G5" s="43">
        <v>2</v>
      </c>
      <c r="I5" s="45">
        <v>1</v>
      </c>
      <c r="J5" s="40">
        <v>1.4</v>
      </c>
      <c r="K5" s="43">
        <v>2</v>
      </c>
      <c r="M5" s="41">
        <v>1.2</v>
      </c>
      <c r="N5" s="41">
        <v>1.6</v>
      </c>
      <c r="O5" s="43">
        <v>2</v>
      </c>
      <c r="Q5" s="41">
        <v>1.6</v>
      </c>
      <c r="R5" s="44">
        <v>1.8</v>
      </c>
      <c r="S5" s="43">
        <v>2</v>
      </c>
      <c r="U5" s="41">
        <v>0.4</v>
      </c>
      <c r="V5" s="44">
        <v>0.6</v>
      </c>
      <c r="W5" s="43">
        <v>2</v>
      </c>
    </row>
    <row r="6" spans="1:24" x14ac:dyDescent="0.2">
      <c r="A6" s="40">
        <v>1.2</v>
      </c>
      <c r="B6" s="40">
        <v>1.8</v>
      </c>
      <c r="C6" s="40">
        <v>3</v>
      </c>
      <c r="D6" s="13"/>
      <c r="E6" s="45">
        <v>1</v>
      </c>
      <c r="F6" s="40">
        <v>1.5</v>
      </c>
      <c r="G6" s="43">
        <v>3</v>
      </c>
      <c r="I6" s="45">
        <v>1.5</v>
      </c>
      <c r="J6" s="40">
        <v>2.0999999999999996</v>
      </c>
      <c r="K6" s="43">
        <v>3</v>
      </c>
      <c r="M6" s="41">
        <v>1.7999999999999998</v>
      </c>
      <c r="N6" s="41">
        <v>2.4000000000000004</v>
      </c>
      <c r="O6" s="43">
        <v>3</v>
      </c>
      <c r="Q6" s="41">
        <v>2.4000000000000004</v>
      </c>
      <c r="R6" s="44">
        <v>2.7</v>
      </c>
      <c r="S6" s="43">
        <v>3</v>
      </c>
      <c r="U6" s="41">
        <v>0.60000000000000009</v>
      </c>
      <c r="V6" s="44">
        <v>0.89999999999999991</v>
      </c>
      <c r="W6" s="43">
        <v>3</v>
      </c>
    </row>
    <row r="7" spans="1:24" x14ac:dyDescent="0.2">
      <c r="A7" s="40">
        <v>1.6</v>
      </c>
      <c r="B7" s="40">
        <v>2.4</v>
      </c>
      <c r="C7" s="40">
        <v>4</v>
      </c>
      <c r="D7" s="13"/>
      <c r="E7" s="45">
        <v>1.3333333333333333</v>
      </c>
      <c r="F7" s="40">
        <v>2</v>
      </c>
      <c r="G7" s="43">
        <v>4</v>
      </c>
      <c r="I7" s="45">
        <v>2</v>
      </c>
      <c r="J7" s="40">
        <v>2.8</v>
      </c>
      <c r="K7" s="43">
        <v>4</v>
      </c>
      <c r="M7" s="41">
        <v>2.4</v>
      </c>
      <c r="N7" s="41">
        <v>3.2</v>
      </c>
      <c r="O7" s="43">
        <v>4</v>
      </c>
      <c r="Q7" s="41">
        <v>3.2</v>
      </c>
      <c r="R7" s="44">
        <v>3.6</v>
      </c>
      <c r="S7" s="43">
        <v>4</v>
      </c>
      <c r="U7" s="41">
        <v>0.8</v>
      </c>
      <c r="V7" s="44">
        <v>1.2</v>
      </c>
      <c r="W7" s="43">
        <v>4</v>
      </c>
    </row>
    <row r="8" spans="1:24" x14ac:dyDescent="0.2">
      <c r="A8" s="40">
        <v>2</v>
      </c>
      <c r="B8" s="40">
        <v>3</v>
      </c>
      <c r="C8" s="40">
        <v>5</v>
      </c>
      <c r="D8" s="13"/>
      <c r="E8" s="45">
        <v>1.6666666666666665</v>
      </c>
      <c r="F8" s="40">
        <v>2.5</v>
      </c>
      <c r="G8" s="43">
        <v>5</v>
      </c>
      <c r="I8" s="45">
        <v>2.5</v>
      </c>
      <c r="J8" s="40">
        <v>3.5</v>
      </c>
      <c r="K8" s="43">
        <v>5</v>
      </c>
      <c r="M8" s="41">
        <v>3</v>
      </c>
      <c r="N8" s="41">
        <v>4</v>
      </c>
      <c r="O8" s="43">
        <v>5</v>
      </c>
      <c r="Q8" s="41">
        <v>4</v>
      </c>
      <c r="R8" s="44">
        <v>4.5</v>
      </c>
      <c r="S8" s="43">
        <v>5</v>
      </c>
      <c r="U8" s="41">
        <v>1</v>
      </c>
      <c r="V8" s="44">
        <v>1.5</v>
      </c>
      <c r="W8" s="43">
        <v>5</v>
      </c>
    </row>
    <row r="9" spans="1:24" x14ac:dyDescent="0.2">
      <c r="A9" s="40">
        <v>2.4</v>
      </c>
      <c r="B9" s="40">
        <v>3.6</v>
      </c>
      <c r="C9" s="40">
        <v>6</v>
      </c>
      <c r="D9" s="13"/>
      <c r="E9" s="45">
        <v>2</v>
      </c>
      <c r="F9" s="40">
        <v>3</v>
      </c>
      <c r="G9" s="43">
        <v>6</v>
      </c>
      <c r="I9" s="45">
        <v>3</v>
      </c>
      <c r="J9" s="40">
        <v>4.1999999999999993</v>
      </c>
      <c r="K9" s="43">
        <v>6</v>
      </c>
      <c r="M9" s="41">
        <v>3.5999999999999996</v>
      </c>
      <c r="N9" s="41">
        <v>4.8000000000000007</v>
      </c>
      <c r="O9" s="43">
        <v>6</v>
      </c>
      <c r="Q9" s="41">
        <v>4.8000000000000007</v>
      </c>
      <c r="R9" s="44">
        <v>5.4</v>
      </c>
      <c r="S9" s="43">
        <v>6</v>
      </c>
      <c r="U9" s="41">
        <v>1.2000000000000002</v>
      </c>
      <c r="V9" s="44">
        <v>1.7999999999999998</v>
      </c>
      <c r="W9" s="43">
        <v>6</v>
      </c>
    </row>
    <row r="10" spans="1:24" x14ac:dyDescent="0.2">
      <c r="A10" s="40">
        <v>2.8</v>
      </c>
      <c r="B10" s="40">
        <v>4.2</v>
      </c>
      <c r="C10" s="40">
        <v>7</v>
      </c>
      <c r="D10" s="13"/>
      <c r="E10" s="45">
        <v>2.333333333333333</v>
      </c>
      <c r="F10" s="40">
        <v>3.5</v>
      </c>
      <c r="G10" s="43">
        <v>7</v>
      </c>
      <c r="I10" s="45">
        <v>3.5</v>
      </c>
      <c r="J10" s="40">
        <v>4.8999999999999995</v>
      </c>
      <c r="K10" s="43">
        <v>7</v>
      </c>
      <c r="M10" s="41">
        <v>4.2</v>
      </c>
      <c r="N10" s="41">
        <v>5.6000000000000005</v>
      </c>
      <c r="O10" s="43">
        <v>7</v>
      </c>
      <c r="Q10" s="41">
        <v>5.6000000000000005</v>
      </c>
      <c r="R10" s="44">
        <v>6.3</v>
      </c>
      <c r="S10" s="43">
        <v>7</v>
      </c>
      <c r="U10" s="41">
        <v>1.4000000000000001</v>
      </c>
      <c r="V10" s="44">
        <v>2.1</v>
      </c>
      <c r="W10" s="43">
        <v>7</v>
      </c>
    </row>
    <row r="11" spans="1:24" x14ac:dyDescent="0.2">
      <c r="A11" s="40">
        <v>3.1999999999999997</v>
      </c>
      <c r="B11" s="40">
        <v>4.8</v>
      </c>
      <c r="C11" s="40">
        <v>8</v>
      </c>
      <c r="D11" s="13"/>
      <c r="E11" s="45">
        <v>2.6666666666666665</v>
      </c>
      <c r="F11" s="40">
        <v>4</v>
      </c>
      <c r="G11" s="43">
        <v>8</v>
      </c>
      <c r="I11" s="45">
        <v>4</v>
      </c>
      <c r="J11" s="40">
        <v>5.6</v>
      </c>
      <c r="K11" s="43">
        <v>8</v>
      </c>
      <c r="M11" s="41">
        <v>4.8</v>
      </c>
      <c r="N11" s="41">
        <v>6.4</v>
      </c>
      <c r="O11" s="43">
        <v>8</v>
      </c>
      <c r="Q11" s="41">
        <v>6.4</v>
      </c>
      <c r="R11" s="44">
        <v>7.2</v>
      </c>
      <c r="S11" s="43">
        <v>8</v>
      </c>
      <c r="U11" s="41">
        <v>1.6</v>
      </c>
      <c r="V11" s="44">
        <v>2.4</v>
      </c>
      <c r="W11" s="43">
        <v>8</v>
      </c>
    </row>
    <row r="12" spans="1:24" x14ac:dyDescent="0.2">
      <c r="A12" s="40">
        <v>3.5999999999999996</v>
      </c>
      <c r="B12" s="40">
        <v>5.3999999999999995</v>
      </c>
      <c r="C12" s="40">
        <v>9</v>
      </c>
      <c r="D12" s="13"/>
      <c r="E12" s="45">
        <v>3</v>
      </c>
      <c r="F12" s="40">
        <v>4.5</v>
      </c>
      <c r="G12" s="43">
        <v>9</v>
      </c>
      <c r="I12" s="45">
        <v>4.5</v>
      </c>
      <c r="J12" s="40">
        <v>6.3</v>
      </c>
      <c r="K12" s="43">
        <v>9</v>
      </c>
      <c r="M12" s="41">
        <v>5.3999999999999995</v>
      </c>
      <c r="N12" s="41">
        <v>7.2</v>
      </c>
      <c r="O12" s="43">
        <v>9</v>
      </c>
      <c r="Q12" s="41">
        <v>7.2</v>
      </c>
      <c r="R12" s="44">
        <v>8.1</v>
      </c>
      <c r="S12" s="43">
        <v>9</v>
      </c>
      <c r="U12" s="41">
        <v>1.8</v>
      </c>
      <c r="V12" s="44">
        <v>2.6999999999999997</v>
      </c>
      <c r="W12" s="43">
        <v>9</v>
      </c>
    </row>
    <row r="13" spans="1:24" x14ac:dyDescent="0.2">
      <c r="A13" s="40">
        <v>3.9999999999999996</v>
      </c>
      <c r="B13" s="40">
        <v>5.9999999999999991</v>
      </c>
      <c r="C13" s="40">
        <v>10</v>
      </c>
      <c r="D13" s="13"/>
      <c r="E13" s="45">
        <v>3.333333333333333</v>
      </c>
      <c r="F13" s="40">
        <v>5</v>
      </c>
      <c r="G13" s="43">
        <v>10</v>
      </c>
      <c r="I13" s="45">
        <v>5</v>
      </c>
      <c r="J13" s="40">
        <v>7</v>
      </c>
      <c r="K13" s="43">
        <v>10</v>
      </c>
      <c r="M13" s="41">
        <v>6</v>
      </c>
      <c r="N13" s="41">
        <v>8</v>
      </c>
      <c r="O13" s="43">
        <v>10</v>
      </c>
      <c r="Q13" s="41">
        <v>8</v>
      </c>
      <c r="R13" s="44">
        <v>9</v>
      </c>
      <c r="S13" s="43">
        <v>10</v>
      </c>
      <c r="U13" s="41">
        <v>2</v>
      </c>
      <c r="V13" s="44">
        <v>3</v>
      </c>
      <c r="W13" s="43">
        <v>10</v>
      </c>
    </row>
    <row r="14" spans="1:24" x14ac:dyDescent="0.2">
      <c r="A14" s="40">
        <v>4.3999999999999995</v>
      </c>
      <c r="B14" s="40">
        <v>6.5999999999999988</v>
      </c>
      <c r="C14" s="40">
        <v>11</v>
      </c>
      <c r="D14" s="13"/>
      <c r="E14" s="45">
        <v>3.6666666666666665</v>
      </c>
      <c r="F14" s="40">
        <v>5.5</v>
      </c>
      <c r="G14" s="43">
        <v>11</v>
      </c>
      <c r="I14" s="45">
        <v>5.5</v>
      </c>
      <c r="J14" s="40">
        <v>7.6999999999999993</v>
      </c>
      <c r="K14" s="43">
        <v>11</v>
      </c>
      <c r="M14" s="41">
        <v>6.6</v>
      </c>
      <c r="N14" s="41">
        <v>8.8000000000000007</v>
      </c>
      <c r="O14" s="43">
        <v>11</v>
      </c>
      <c r="Q14" s="41">
        <v>8.8000000000000007</v>
      </c>
      <c r="R14" s="44">
        <v>9.9</v>
      </c>
      <c r="S14" s="43">
        <v>11</v>
      </c>
      <c r="U14" s="41">
        <v>2.2000000000000002</v>
      </c>
      <c r="V14" s="44">
        <v>3.3</v>
      </c>
      <c r="W14" s="43">
        <v>11</v>
      </c>
    </row>
    <row r="15" spans="1:24" x14ac:dyDescent="0.2">
      <c r="A15" s="40">
        <v>4.8</v>
      </c>
      <c r="B15" s="40">
        <v>7.1999999999999984</v>
      </c>
      <c r="C15" s="40">
        <v>12</v>
      </c>
      <c r="D15" s="13"/>
      <c r="E15" s="45">
        <v>4</v>
      </c>
      <c r="F15" s="40">
        <v>6</v>
      </c>
      <c r="G15" s="43">
        <v>12</v>
      </c>
      <c r="I15" s="45">
        <v>6</v>
      </c>
      <c r="J15" s="40">
        <v>8.3999999999999986</v>
      </c>
      <c r="K15" s="43">
        <v>12</v>
      </c>
      <c r="M15" s="41">
        <v>7.1999999999999993</v>
      </c>
      <c r="N15" s="41">
        <v>9.6000000000000014</v>
      </c>
      <c r="O15" s="43">
        <v>12</v>
      </c>
      <c r="Q15" s="41">
        <v>9.6000000000000014</v>
      </c>
      <c r="R15" s="44">
        <v>10.8</v>
      </c>
      <c r="S15" s="43">
        <v>12</v>
      </c>
      <c r="U15" s="41">
        <v>2.4000000000000004</v>
      </c>
      <c r="V15" s="44">
        <v>3.5999999999999996</v>
      </c>
      <c r="W15" s="43">
        <v>12</v>
      </c>
    </row>
    <row r="16" spans="1:24" x14ac:dyDescent="0.2">
      <c r="A16" s="40">
        <v>5.2</v>
      </c>
      <c r="B16" s="40">
        <v>7.799999999999998</v>
      </c>
      <c r="C16" s="40">
        <v>13</v>
      </c>
      <c r="D16" s="13"/>
      <c r="E16" s="45">
        <v>4.333333333333333</v>
      </c>
      <c r="F16" s="40">
        <v>6.5</v>
      </c>
      <c r="G16" s="43">
        <v>13</v>
      </c>
      <c r="I16" s="45">
        <v>6.5</v>
      </c>
      <c r="J16" s="40">
        <v>9.1</v>
      </c>
      <c r="K16" s="43">
        <v>13</v>
      </c>
      <c r="M16" s="41">
        <v>7.8</v>
      </c>
      <c r="N16" s="41">
        <v>10.4</v>
      </c>
      <c r="O16" s="43">
        <v>13</v>
      </c>
      <c r="Q16" s="41">
        <v>10.4</v>
      </c>
      <c r="R16" s="44">
        <v>11.700000000000001</v>
      </c>
      <c r="S16" s="43">
        <v>13</v>
      </c>
      <c r="U16" s="41">
        <v>2.6</v>
      </c>
      <c r="V16" s="44">
        <v>3.9</v>
      </c>
      <c r="W16" s="43">
        <v>13</v>
      </c>
    </row>
    <row r="17" spans="1:23" x14ac:dyDescent="0.2">
      <c r="A17" s="40">
        <v>5.6000000000000005</v>
      </c>
      <c r="B17" s="40">
        <v>8.3999999999999986</v>
      </c>
      <c r="C17" s="40">
        <v>14</v>
      </c>
      <c r="D17" s="13"/>
      <c r="E17" s="45">
        <v>4.6666666666666661</v>
      </c>
      <c r="F17" s="40">
        <v>7</v>
      </c>
      <c r="G17" s="43">
        <v>14</v>
      </c>
      <c r="I17" s="45">
        <v>7</v>
      </c>
      <c r="J17" s="40">
        <v>9.7999999999999989</v>
      </c>
      <c r="K17" s="43">
        <v>14</v>
      </c>
      <c r="M17" s="41">
        <v>8.4</v>
      </c>
      <c r="N17" s="41">
        <v>11.200000000000001</v>
      </c>
      <c r="O17" s="43">
        <v>14</v>
      </c>
      <c r="Q17" s="41">
        <v>11.200000000000001</v>
      </c>
      <c r="R17" s="44">
        <v>12.6</v>
      </c>
      <c r="S17" s="43">
        <v>14</v>
      </c>
      <c r="U17" s="41">
        <v>2.8000000000000003</v>
      </c>
      <c r="V17" s="44">
        <v>4.2</v>
      </c>
      <c r="W17" s="43">
        <v>14</v>
      </c>
    </row>
    <row r="18" spans="1:23" x14ac:dyDescent="0.2">
      <c r="A18" s="40">
        <v>6.0000000000000009</v>
      </c>
      <c r="B18" s="40">
        <v>8.9999999999999982</v>
      </c>
      <c r="C18" s="40">
        <v>15</v>
      </c>
      <c r="D18" s="13"/>
      <c r="E18" s="45">
        <v>5</v>
      </c>
      <c r="F18" s="40">
        <v>7.5</v>
      </c>
      <c r="G18" s="43">
        <v>15</v>
      </c>
      <c r="I18" s="45">
        <v>7.5</v>
      </c>
      <c r="J18" s="40">
        <v>10.5</v>
      </c>
      <c r="K18" s="43">
        <v>15</v>
      </c>
      <c r="M18" s="41">
        <v>9</v>
      </c>
      <c r="N18" s="41">
        <v>12</v>
      </c>
      <c r="O18" s="43">
        <v>15</v>
      </c>
      <c r="Q18" s="41">
        <v>12</v>
      </c>
      <c r="R18" s="44">
        <v>13.5</v>
      </c>
      <c r="S18" s="43">
        <v>15</v>
      </c>
      <c r="U18" s="41">
        <v>3</v>
      </c>
      <c r="V18" s="44">
        <v>4.5</v>
      </c>
      <c r="W18" s="43">
        <v>15</v>
      </c>
    </row>
    <row r="19" spans="1:23" x14ac:dyDescent="0.2">
      <c r="A19" s="40">
        <v>6.4000000000000012</v>
      </c>
      <c r="B19" s="40">
        <v>9.5999999999999979</v>
      </c>
      <c r="C19" s="40">
        <v>16</v>
      </c>
      <c r="D19" s="13"/>
      <c r="E19" s="45">
        <v>5.333333333333333</v>
      </c>
      <c r="F19" s="40">
        <v>8</v>
      </c>
      <c r="G19" s="43">
        <v>16</v>
      </c>
      <c r="I19" s="45">
        <v>8</v>
      </c>
      <c r="J19" s="40">
        <v>11.2</v>
      </c>
      <c r="K19" s="43">
        <v>16</v>
      </c>
      <c r="M19" s="41">
        <v>9.6</v>
      </c>
      <c r="N19" s="41">
        <v>12.8</v>
      </c>
      <c r="O19" s="43">
        <v>16</v>
      </c>
      <c r="Q19" s="41">
        <v>12.8</v>
      </c>
      <c r="R19" s="44">
        <v>14.4</v>
      </c>
      <c r="S19" s="43">
        <v>16</v>
      </c>
      <c r="U19" s="41">
        <v>3.2</v>
      </c>
      <c r="V19" s="44">
        <v>4.8</v>
      </c>
      <c r="W19" s="43">
        <v>16</v>
      </c>
    </row>
    <row r="20" spans="1:23" x14ac:dyDescent="0.2">
      <c r="A20" s="40">
        <v>6.8000000000000016</v>
      </c>
      <c r="B20" s="40">
        <v>10.199999999999998</v>
      </c>
      <c r="C20" s="40">
        <v>17</v>
      </c>
      <c r="D20" s="13"/>
      <c r="E20" s="45">
        <v>5.6666666666666661</v>
      </c>
      <c r="F20" s="40">
        <v>8.5</v>
      </c>
      <c r="G20" s="43">
        <v>17</v>
      </c>
      <c r="I20" s="45">
        <v>8.5</v>
      </c>
      <c r="J20" s="40">
        <v>11.899999999999999</v>
      </c>
      <c r="K20" s="43">
        <v>17</v>
      </c>
      <c r="M20" s="41">
        <v>10.199999999999999</v>
      </c>
      <c r="N20" s="41">
        <v>13.600000000000001</v>
      </c>
      <c r="O20" s="43">
        <v>17</v>
      </c>
      <c r="Q20" s="16"/>
      <c r="R20" s="16"/>
      <c r="S20" s="46"/>
      <c r="U20" s="41">
        <v>3.4000000000000004</v>
      </c>
      <c r="V20" s="44">
        <v>5.0999999999999996</v>
      </c>
      <c r="W20" s="43">
        <v>17</v>
      </c>
    </row>
    <row r="21" spans="1:23" x14ac:dyDescent="0.2">
      <c r="A21" s="40">
        <v>7.200000000000002</v>
      </c>
      <c r="B21" s="40">
        <v>10.799999999999997</v>
      </c>
      <c r="C21" s="40">
        <v>18</v>
      </c>
      <c r="D21" s="13"/>
      <c r="E21" s="45">
        <v>6</v>
      </c>
      <c r="F21" s="40">
        <v>9</v>
      </c>
      <c r="G21" s="43">
        <v>18</v>
      </c>
      <c r="I21" s="45">
        <v>9</v>
      </c>
      <c r="J21" s="40">
        <v>12.6</v>
      </c>
      <c r="K21" s="43">
        <v>18</v>
      </c>
      <c r="M21" s="41">
        <v>10.799999999999999</v>
      </c>
      <c r="N21" s="41">
        <v>14.4</v>
      </c>
      <c r="O21" s="43">
        <v>18</v>
      </c>
      <c r="Q21" s="46"/>
      <c r="R21" s="46"/>
      <c r="S21" s="46"/>
      <c r="U21" s="41">
        <v>3.6</v>
      </c>
      <c r="V21" s="44">
        <v>5.3999999999999995</v>
      </c>
      <c r="W21" s="43">
        <v>18</v>
      </c>
    </row>
    <row r="22" spans="1:23" x14ac:dyDescent="0.2">
      <c r="A22" s="40">
        <v>7.6000000000000023</v>
      </c>
      <c r="B22" s="40">
        <v>11.399999999999997</v>
      </c>
      <c r="C22" s="40">
        <v>19</v>
      </c>
      <c r="D22" s="13"/>
      <c r="E22" s="45">
        <v>6.333333333333333</v>
      </c>
      <c r="F22" s="40">
        <v>9.5</v>
      </c>
      <c r="G22" s="43">
        <v>19</v>
      </c>
      <c r="I22" s="45">
        <v>9.5</v>
      </c>
      <c r="J22" s="40">
        <v>13.299999999999999</v>
      </c>
      <c r="K22" s="43">
        <v>19</v>
      </c>
      <c r="M22" s="41">
        <v>11.4</v>
      </c>
      <c r="N22" s="41">
        <v>15.200000000000001</v>
      </c>
      <c r="O22" s="43">
        <v>19</v>
      </c>
      <c r="Q22" s="46"/>
      <c r="R22" s="46"/>
      <c r="S22" s="46"/>
      <c r="U22" s="41">
        <v>3.8000000000000003</v>
      </c>
      <c r="V22" s="44">
        <v>5.7</v>
      </c>
      <c r="W22" s="43">
        <v>19</v>
      </c>
    </row>
    <row r="23" spans="1:23" x14ac:dyDescent="0.2">
      <c r="A23" s="40">
        <v>8.0000000000000018</v>
      </c>
      <c r="B23" s="40">
        <v>11.999999999999996</v>
      </c>
      <c r="C23" s="40">
        <v>20</v>
      </c>
      <c r="D23" s="13"/>
      <c r="E23" s="45">
        <v>6.6666666666666661</v>
      </c>
      <c r="F23" s="40">
        <v>10</v>
      </c>
      <c r="G23" s="43">
        <v>20</v>
      </c>
      <c r="I23" s="45">
        <v>10</v>
      </c>
      <c r="J23" s="40">
        <v>14</v>
      </c>
      <c r="K23" s="43">
        <v>20</v>
      </c>
      <c r="M23" s="41">
        <v>12</v>
      </c>
      <c r="N23" s="41">
        <v>16</v>
      </c>
      <c r="O23" s="43">
        <v>20</v>
      </c>
      <c r="Q23" s="46"/>
      <c r="R23" s="46"/>
      <c r="S23" s="46"/>
      <c r="U23" s="41">
        <v>4</v>
      </c>
      <c r="V23" s="44">
        <v>6</v>
      </c>
      <c r="W23" s="43">
        <v>20</v>
      </c>
    </row>
    <row r="24" spans="1:23" x14ac:dyDescent="0.2">
      <c r="A24" s="40">
        <v>8.4000000000000021</v>
      </c>
      <c r="B24" s="40">
        <v>12.599999999999996</v>
      </c>
      <c r="C24" s="40">
        <v>21</v>
      </c>
      <c r="D24" s="13"/>
      <c r="E24" s="45">
        <v>7</v>
      </c>
      <c r="F24" s="40">
        <v>10.5</v>
      </c>
      <c r="G24" s="43">
        <v>21</v>
      </c>
      <c r="I24" s="45">
        <v>10.5</v>
      </c>
      <c r="J24" s="40">
        <v>14.7</v>
      </c>
      <c r="K24" s="43">
        <v>21</v>
      </c>
      <c r="M24" s="41">
        <v>12.6</v>
      </c>
      <c r="N24" s="41">
        <v>16.8</v>
      </c>
      <c r="O24" s="43">
        <v>21</v>
      </c>
      <c r="Q24" s="46"/>
      <c r="R24" s="46"/>
      <c r="S24" s="46"/>
      <c r="U24" s="41">
        <v>4.2</v>
      </c>
      <c r="V24" s="44">
        <v>6.3</v>
      </c>
      <c r="W24" s="43">
        <v>21</v>
      </c>
    </row>
    <row r="25" spans="1:23" x14ac:dyDescent="0.2">
      <c r="A25" s="40">
        <v>8.8000000000000025</v>
      </c>
      <c r="B25" s="40">
        <v>13.199999999999996</v>
      </c>
      <c r="C25" s="40">
        <v>22</v>
      </c>
      <c r="D25" s="13"/>
      <c r="E25" s="45">
        <v>7.333333333333333</v>
      </c>
      <c r="F25" s="40">
        <v>11</v>
      </c>
      <c r="G25" s="43">
        <v>22</v>
      </c>
      <c r="I25" s="45">
        <v>11</v>
      </c>
      <c r="J25" s="40">
        <v>15.399999999999999</v>
      </c>
      <c r="K25" s="43">
        <v>22</v>
      </c>
      <c r="M25" s="41">
        <v>13.2</v>
      </c>
      <c r="N25" s="41">
        <v>17.600000000000001</v>
      </c>
      <c r="O25" s="43">
        <v>22</v>
      </c>
      <c r="Q25" s="46"/>
      <c r="R25" s="46"/>
      <c r="S25" s="46"/>
      <c r="U25" s="41">
        <v>4.4000000000000004</v>
      </c>
      <c r="V25" s="44">
        <v>6.6</v>
      </c>
      <c r="W25" s="43">
        <v>22</v>
      </c>
    </row>
    <row r="26" spans="1:23" x14ac:dyDescent="0.2">
      <c r="A26" s="40">
        <v>9.2000000000000028</v>
      </c>
      <c r="B26" s="40">
        <v>13.799999999999995</v>
      </c>
      <c r="C26" s="40">
        <v>23</v>
      </c>
      <c r="D26" s="13"/>
      <c r="E26" s="45">
        <v>7.6666666666666661</v>
      </c>
      <c r="F26" s="40">
        <v>11.5</v>
      </c>
      <c r="G26" s="43">
        <v>23</v>
      </c>
      <c r="I26" s="45">
        <v>11.5</v>
      </c>
      <c r="J26" s="40">
        <v>16.099999999999998</v>
      </c>
      <c r="K26" s="43">
        <v>23</v>
      </c>
      <c r="M26" s="46"/>
      <c r="N26" s="46"/>
      <c r="O26" s="46"/>
      <c r="Q26" s="46"/>
      <c r="R26" s="46"/>
      <c r="S26" s="46"/>
      <c r="U26" s="41">
        <v>4.6000000000000005</v>
      </c>
      <c r="V26" s="44">
        <v>6.8999999999999995</v>
      </c>
      <c r="W26" s="43">
        <v>23</v>
      </c>
    </row>
    <row r="27" spans="1:23" x14ac:dyDescent="0.2">
      <c r="A27" s="40">
        <v>9.6000000000000032</v>
      </c>
      <c r="B27" s="40">
        <v>14.399999999999995</v>
      </c>
      <c r="C27" s="40">
        <v>24</v>
      </c>
      <c r="D27" s="13"/>
      <c r="E27" s="45">
        <v>8</v>
      </c>
      <c r="F27" s="40">
        <v>12</v>
      </c>
      <c r="G27" s="43">
        <v>24</v>
      </c>
      <c r="I27" s="45">
        <v>12</v>
      </c>
      <c r="J27" s="40">
        <v>16.799999999999997</v>
      </c>
      <c r="K27" s="43">
        <v>24</v>
      </c>
      <c r="M27" s="46"/>
      <c r="N27" s="46"/>
      <c r="O27" s="46"/>
      <c r="Q27" s="46"/>
      <c r="R27" s="46"/>
      <c r="S27" s="46"/>
      <c r="U27" s="41">
        <v>4.8000000000000007</v>
      </c>
      <c r="V27" s="44">
        <v>7.1999999999999993</v>
      </c>
      <c r="W27" s="43">
        <v>24</v>
      </c>
    </row>
    <row r="28" spans="1:23" x14ac:dyDescent="0.2">
      <c r="A28" s="40">
        <v>10.000000000000004</v>
      </c>
      <c r="B28" s="40">
        <v>14.999999999999995</v>
      </c>
      <c r="C28" s="40">
        <v>25</v>
      </c>
      <c r="D28" s="13"/>
      <c r="E28" s="45">
        <v>8.3333333333333321</v>
      </c>
      <c r="F28" s="40">
        <v>12.5</v>
      </c>
      <c r="G28" s="43">
        <v>25</v>
      </c>
      <c r="I28" s="45">
        <v>12.5</v>
      </c>
      <c r="J28" s="40">
        <v>17.5</v>
      </c>
      <c r="K28" s="43">
        <v>25</v>
      </c>
      <c r="M28" s="46"/>
      <c r="N28" s="46"/>
      <c r="O28" s="46"/>
      <c r="Q28" s="46"/>
      <c r="R28" s="46"/>
      <c r="S28" s="47"/>
      <c r="U28" s="41">
        <v>5</v>
      </c>
      <c r="V28" s="44">
        <v>7.5</v>
      </c>
      <c r="W28" s="43">
        <v>25</v>
      </c>
    </row>
    <row r="29" spans="1:23" x14ac:dyDescent="0.2">
      <c r="A29" s="40">
        <v>10.400000000000004</v>
      </c>
      <c r="B29" s="40">
        <v>15.599999999999994</v>
      </c>
      <c r="C29" s="40">
        <v>26</v>
      </c>
      <c r="D29" s="13"/>
      <c r="E29" s="45">
        <v>8.6666666666666661</v>
      </c>
      <c r="F29" s="40">
        <v>13</v>
      </c>
      <c r="G29" s="43">
        <v>26</v>
      </c>
      <c r="I29" s="45">
        <v>13</v>
      </c>
      <c r="J29" s="40">
        <v>18.2</v>
      </c>
      <c r="K29" s="43">
        <v>26</v>
      </c>
      <c r="M29" s="46"/>
      <c r="N29" s="46"/>
      <c r="O29" s="46"/>
      <c r="Q29" s="46"/>
      <c r="R29" s="46"/>
      <c r="S29" s="47"/>
      <c r="U29" s="41">
        <v>5.2</v>
      </c>
      <c r="V29" s="44">
        <v>7.8</v>
      </c>
      <c r="W29" s="43">
        <v>26</v>
      </c>
    </row>
    <row r="30" spans="1:23" x14ac:dyDescent="0.2">
      <c r="A30" s="40">
        <v>10.800000000000004</v>
      </c>
      <c r="B30" s="40">
        <v>16.199999999999996</v>
      </c>
      <c r="C30" s="40">
        <v>27</v>
      </c>
      <c r="D30" s="13"/>
      <c r="E30" s="45">
        <v>9</v>
      </c>
      <c r="F30" s="40">
        <v>13.5</v>
      </c>
      <c r="G30" s="40">
        <v>27</v>
      </c>
      <c r="J30" s="13"/>
      <c r="K30" s="46"/>
      <c r="M30" s="46"/>
      <c r="N30" s="46"/>
      <c r="O30" s="46"/>
      <c r="Q30" s="46"/>
      <c r="R30" s="46"/>
      <c r="S30" s="47"/>
      <c r="U30" s="41">
        <v>5.4</v>
      </c>
      <c r="V30" s="44">
        <v>8.1</v>
      </c>
      <c r="W30" s="43">
        <v>27</v>
      </c>
    </row>
    <row r="31" spans="1:23" x14ac:dyDescent="0.2">
      <c r="A31" s="40">
        <v>11.200000000000005</v>
      </c>
      <c r="B31" s="40">
        <v>16.799999999999997</v>
      </c>
      <c r="C31" s="40">
        <v>28</v>
      </c>
      <c r="D31" s="13"/>
      <c r="E31" s="45">
        <v>9.3333333333333321</v>
      </c>
      <c r="F31" s="40">
        <v>14</v>
      </c>
      <c r="G31" s="40">
        <v>28</v>
      </c>
      <c r="J31" s="13"/>
      <c r="K31" s="46"/>
      <c r="M31" s="46"/>
      <c r="N31" s="46"/>
      <c r="O31" s="46"/>
      <c r="Q31" s="46"/>
      <c r="R31" s="46"/>
      <c r="S31" s="47"/>
      <c r="U31" s="41">
        <v>5.6000000000000005</v>
      </c>
      <c r="V31" s="44">
        <v>8.4</v>
      </c>
      <c r="W31" s="43">
        <v>28</v>
      </c>
    </row>
    <row r="32" spans="1:23" x14ac:dyDescent="0.2">
      <c r="A32" s="40">
        <v>11.600000000000005</v>
      </c>
      <c r="B32" s="40">
        <v>17.399999999999999</v>
      </c>
      <c r="C32" s="40">
        <v>29</v>
      </c>
      <c r="D32" s="13"/>
      <c r="E32" s="45">
        <v>9.6666666666666661</v>
      </c>
      <c r="F32" s="40">
        <v>14.5</v>
      </c>
      <c r="G32" s="40">
        <v>29</v>
      </c>
      <c r="J32" s="13"/>
      <c r="K32" s="46"/>
      <c r="M32" s="46"/>
      <c r="N32" s="46"/>
      <c r="O32" s="46"/>
      <c r="Q32" s="46"/>
      <c r="R32" s="46"/>
      <c r="S32" s="47"/>
      <c r="U32" s="41">
        <v>5.8000000000000007</v>
      </c>
      <c r="V32" s="44">
        <v>8.6999999999999993</v>
      </c>
      <c r="W32" s="43">
        <v>29</v>
      </c>
    </row>
    <row r="33" spans="1:23" x14ac:dyDescent="0.2">
      <c r="A33" s="40">
        <v>12.000000000000005</v>
      </c>
      <c r="B33" s="40">
        <v>18</v>
      </c>
      <c r="C33" s="40">
        <v>30</v>
      </c>
      <c r="D33" s="13"/>
      <c r="E33" s="45">
        <v>10</v>
      </c>
      <c r="F33" s="40">
        <v>15</v>
      </c>
      <c r="G33" s="40">
        <v>30</v>
      </c>
      <c r="J33" s="13"/>
      <c r="K33" s="46"/>
      <c r="M33" s="46"/>
      <c r="N33" s="46"/>
      <c r="O33" s="46"/>
      <c r="Q33" s="46"/>
      <c r="R33" s="46"/>
      <c r="S33" s="47"/>
      <c r="U33" s="41">
        <v>6</v>
      </c>
      <c r="V33" s="44">
        <v>9</v>
      </c>
      <c r="W33" s="43">
        <v>30</v>
      </c>
    </row>
    <row r="34" spans="1:23" x14ac:dyDescent="0.2">
      <c r="A34" s="40">
        <v>12.400000000000006</v>
      </c>
      <c r="B34" s="40">
        <v>18.600000000000001</v>
      </c>
      <c r="C34" s="40">
        <v>31</v>
      </c>
      <c r="D34" s="13"/>
      <c r="E34" s="45">
        <v>10.333333333333332</v>
      </c>
      <c r="F34" s="40">
        <v>15.5</v>
      </c>
      <c r="G34" s="40">
        <v>31</v>
      </c>
      <c r="J34" s="13"/>
      <c r="K34" s="46"/>
      <c r="M34" s="46"/>
      <c r="N34" s="46"/>
      <c r="O34" s="46"/>
      <c r="Q34" s="46"/>
      <c r="R34" s="46"/>
      <c r="S34" s="47"/>
      <c r="U34" s="41">
        <v>6.2</v>
      </c>
      <c r="V34" s="44">
        <v>9.2999999999999989</v>
      </c>
      <c r="W34" s="43">
        <v>31</v>
      </c>
    </row>
    <row r="35" spans="1:23" x14ac:dyDescent="0.2">
      <c r="A35" s="40">
        <v>12.800000000000006</v>
      </c>
      <c r="B35" s="40">
        <v>19.200000000000003</v>
      </c>
      <c r="C35" s="40">
        <v>32</v>
      </c>
      <c r="D35" s="13"/>
      <c r="E35" s="45">
        <v>10.666666666666666</v>
      </c>
      <c r="F35" s="40">
        <v>16</v>
      </c>
      <c r="G35" s="40">
        <v>32</v>
      </c>
      <c r="J35" s="13"/>
      <c r="K35" s="46"/>
      <c r="M35" s="46"/>
      <c r="N35" s="46"/>
      <c r="O35" s="47"/>
      <c r="Q35" s="47"/>
      <c r="R35" s="47"/>
      <c r="S35" s="47"/>
      <c r="U35" s="41">
        <v>6.4</v>
      </c>
      <c r="V35" s="44">
        <v>9.6</v>
      </c>
      <c r="W35" s="43">
        <v>32</v>
      </c>
    </row>
    <row r="36" spans="1:23" x14ac:dyDescent="0.2">
      <c r="A36" s="40">
        <v>13.200000000000006</v>
      </c>
      <c r="B36" s="40">
        <v>20</v>
      </c>
      <c r="C36" s="40">
        <v>33</v>
      </c>
      <c r="D36" s="13"/>
      <c r="E36" s="45">
        <v>11</v>
      </c>
      <c r="F36" s="40">
        <v>16.5</v>
      </c>
      <c r="G36" s="40">
        <v>33</v>
      </c>
      <c r="J36" s="13"/>
      <c r="K36" s="46"/>
      <c r="M36" s="46"/>
      <c r="N36" s="46"/>
      <c r="O36" s="47"/>
      <c r="Q36" s="47"/>
      <c r="R36" s="47"/>
      <c r="S36" s="47"/>
      <c r="U36" s="41">
        <v>6.6000000000000005</v>
      </c>
      <c r="V36" s="44">
        <v>9.9</v>
      </c>
      <c r="W36" s="43">
        <v>33</v>
      </c>
    </row>
    <row r="37" spans="1:23" x14ac:dyDescent="0.2">
      <c r="E37" s="45">
        <v>11.333333333333332</v>
      </c>
      <c r="F37" s="40">
        <v>17</v>
      </c>
      <c r="G37" s="40">
        <v>34</v>
      </c>
      <c r="U37" s="41">
        <v>6.8000000000000007</v>
      </c>
      <c r="V37" s="44">
        <v>10.199999999999999</v>
      </c>
      <c r="W37" s="43">
        <v>34</v>
      </c>
    </row>
    <row r="38" spans="1:23" x14ac:dyDescent="0.2">
      <c r="E38" s="45">
        <v>11.666666666666666</v>
      </c>
      <c r="F38" s="40">
        <v>17.5</v>
      </c>
      <c r="G38" s="40">
        <v>35</v>
      </c>
      <c r="U38" s="41">
        <v>7</v>
      </c>
      <c r="V38" s="44">
        <v>10.5</v>
      </c>
      <c r="W38" s="43">
        <v>35</v>
      </c>
    </row>
    <row r="39" spans="1:23" x14ac:dyDescent="0.2">
      <c r="E39" s="45">
        <v>12</v>
      </c>
      <c r="F39" s="40">
        <v>18</v>
      </c>
      <c r="G39" s="40">
        <v>36</v>
      </c>
      <c r="U39" s="41">
        <v>7.2</v>
      </c>
      <c r="V39" s="44">
        <v>10.799999999999999</v>
      </c>
      <c r="W39" s="43">
        <v>36</v>
      </c>
    </row>
    <row r="40" spans="1:23" x14ac:dyDescent="0.2">
      <c r="E40" s="45">
        <v>12.333333333333332</v>
      </c>
      <c r="F40" s="40">
        <v>18.5</v>
      </c>
      <c r="G40" s="40">
        <v>37</v>
      </c>
      <c r="U40" s="41">
        <v>7.4</v>
      </c>
      <c r="V40" s="44">
        <v>11.1</v>
      </c>
      <c r="W40" s="43">
        <v>37</v>
      </c>
    </row>
    <row r="41" spans="1:23" x14ac:dyDescent="0.2">
      <c r="E41" s="45">
        <v>12.666666666666666</v>
      </c>
      <c r="F41" s="40">
        <v>19</v>
      </c>
      <c r="G41" s="40">
        <v>38</v>
      </c>
      <c r="U41" s="41">
        <v>7.6000000000000005</v>
      </c>
      <c r="V41" s="44">
        <v>11.4</v>
      </c>
      <c r="W41" s="43">
        <v>38</v>
      </c>
    </row>
    <row r="42" spans="1:23" x14ac:dyDescent="0.2">
      <c r="E42" s="45">
        <v>13</v>
      </c>
      <c r="F42" s="40">
        <v>19.5</v>
      </c>
      <c r="G42" s="40">
        <v>39</v>
      </c>
      <c r="U42" s="41">
        <v>7.8000000000000007</v>
      </c>
      <c r="V42" s="44">
        <v>11.7</v>
      </c>
      <c r="W42" s="43">
        <v>39</v>
      </c>
    </row>
    <row r="43" spans="1:23" x14ac:dyDescent="0.2">
      <c r="E43" s="45">
        <v>13.333333333333332</v>
      </c>
      <c r="F43" s="40">
        <v>20</v>
      </c>
      <c r="G43" s="40">
        <v>40</v>
      </c>
      <c r="U43" s="41">
        <v>8</v>
      </c>
      <c r="V43" s="44">
        <v>12</v>
      </c>
      <c r="W43" s="43">
        <v>40</v>
      </c>
    </row>
    <row r="44" spans="1:23" x14ac:dyDescent="0.2">
      <c r="E44" s="45"/>
      <c r="F44" s="42"/>
      <c r="G44" s="40"/>
      <c r="U44" s="41">
        <v>8.2000000000000011</v>
      </c>
      <c r="V44" s="44">
        <v>12.299999999999999</v>
      </c>
      <c r="W44" s="43">
        <v>41</v>
      </c>
    </row>
    <row r="45" spans="1:23" x14ac:dyDescent="0.2">
      <c r="U45" s="41">
        <v>8.4</v>
      </c>
      <c r="V45" s="44">
        <v>12.6</v>
      </c>
      <c r="W45" s="43">
        <v>42</v>
      </c>
    </row>
    <row r="46" spans="1:23" x14ac:dyDescent="0.2">
      <c r="U46" s="41">
        <v>8.6</v>
      </c>
      <c r="V46" s="44">
        <v>12.9</v>
      </c>
      <c r="W46" s="43">
        <v>43</v>
      </c>
    </row>
    <row r="47" spans="1:23" x14ac:dyDescent="0.2">
      <c r="U47" s="41">
        <v>8.8000000000000007</v>
      </c>
      <c r="V47" s="44">
        <v>13.2</v>
      </c>
      <c r="W47" s="43">
        <v>44</v>
      </c>
    </row>
    <row r="48" spans="1:23" x14ac:dyDescent="0.2">
      <c r="U48" s="41">
        <v>9</v>
      </c>
      <c r="V48" s="44">
        <v>13.5</v>
      </c>
      <c r="W48" s="43">
        <v>45</v>
      </c>
    </row>
    <row r="49" spans="21:23" x14ac:dyDescent="0.2">
      <c r="U49" s="41">
        <v>9.2000000000000011</v>
      </c>
      <c r="V49" s="44">
        <v>13.799999999999999</v>
      </c>
      <c r="W49" s="43">
        <v>46</v>
      </c>
    </row>
    <row r="50" spans="21:23" x14ac:dyDescent="0.2">
      <c r="U50" s="41">
        <v>9.4</v>
      </c>
      <c r="V50" s="44">
        <v>14.1</v>
      </c>
      <c r="W50" s="43">
        <v>47</v>
      </c>
    </row>
    <row r="51" spans="21:23" x14ac:dyDescent="0.2">
      <c r="U51" s="41">
        <v>9.6000000000000014</v>
      </c>
      <c r="V51" s="44">
        <v>14.399999999999999</v>
      </c>
      <c r="W51" s="43">
        <v>48</v>
      </c>
    </row>
    <row r="52" spans="21:23" x14ac:dyDescent="0.2">
      <c r="U52" s="41">
        <v>9.8000000000000007</v>
      </c>
      <c r="V52" s="44">
        <v>14.7</v>
      </c>
      <c r="W52" s="43">
        <v>49</v>
      </c>
    </row>
    <row r="53" spans="21:23" x14ac:dyDescent="0.2">
      <c r="U53" s="41">
        <v>10</v>
      </c>
      <c r="V53" s="44">
        <v>15</v>
      </c>
      <c r="W53" s="43">
        <v>50</v>
      </c>
    </row>
    <row r="54" spans="21:23" x14ac:dyDescent="0.2">
      <c r="U54" s="41">
        <v>10.200000000000001</v>
      </c>
      <c r="V54" s="44">
        <v>15.299999999999999</v>
      </c>
      <c r="W54" s="43">
        <v>51</v>
      </c>
    </row>
    <row r="55" spans="21:23" x14ac:dyDescent="0.2">
      <c r="U55" s="41">
        <v>10.4</v>
      </c>
      <c r="V55" s="44">
        <v>15.6</v>
      </c>
      <c r="W55" s="43">
        <v>52</v>
      </c>
    </row>
    <row r="56" spans="21:23" x14ac:dyDescent="0.2">
      <c r="U56" s="41">
        <v>10.600000000000001</v>
      </c>
      <c r="V56" s="44">
        <v>15.899999999999999</v>
      </c>
      <c r="W56" s="43">
        <v>53</v>
      </c>
    </row>
    <row r="57" spans="21:23" x14ac:dyDescent="0.2">
      <c r="U57" s="41">
        <v>10.8</v>
      </c>
      <c r="V57" s="44">
        <v>16.2</v>
      </c>
      <c r="W57" s="43">
        <v>54</v>
      </c>
    </row>
    <row r="58" spans="21:23" x14ac:dyDescent="0.2">
      <c r="U58" s="41">
        <v>11</v>
      </c>
      <c r="V58" s="44">
        <v>16.5</v>
      </c>
      <c r="W58" s="43">
        <v>55</v>
      </c>
    </row>
    <row r="59" spans="21:23" x14ac:dyDescent="0.2">
      <c r="U59" s="41">
        <v>11.200000000000001</v>
      </c>
      <c r="V59" s="44">
        <v>16.8</v>
      </c>
      <c r="W59" s="43">
        <v>56</v>
      </c>
    </row>
    <row r="60" spans="21:23" x14ac:dyDescent="0.2">
      <c r="U60" s="41">
        <v>11.4</v>
      </c>
      <c r="V60" s="44">
        <v>17.099999999999998</v>
      </c>
      <c r="W60" s="43">
        <v>57</v>
      </c>
    </row>
    <row r="61" spans="21:23" x14ac:dyDescent="0.2">
      <c r="U61" s="41">
        <v>11.600000000000001</v>
      </c>
      <c r="V61" s="44">
        <v>17.399999999999999</v>
      </c>
      <c r="W61" s="43">
        <v>58</v>
      </c>
    </row>
    <row r="62" spans="21:23" x14ac:dyDescent="0.2">
      <c r="U62" s="41">
        <v>11.8</v>
      </c>
      <c r="V62" s="44">
        <v>17.7</v>
      </c>
      <c r="W62" s="43">
        <v>59</v>
      </c>
    </row>
    <row r="63" spans="21:23" x14ac:dyDescent="0.2">
      <c r="U63" s="41">
        <v>12</v>
      </c>
      <c r="V63" s="44">
        <v>18</v>
      </c>
      <c r="W63" s="43">
        <v>60</v>
      </c>
    </row>
    <row r="64" spans="21:23" x14ac:dyDescent="0.2">
      <c r="U64" s="41">
        <v>12.200000000000001</v>
      </c>
      <c r="V64" s="44">
        <v>18.3</v>
      </c>
      <c r="W64" s="43">
        <v>61</v>
      </c>
    </row>
    <row r="65" spans="21:23" x14ac:dyDescent="0.2">
      <c r="U65" s="41">
        <v>12.4</v>
      </c>
      <c r="V65" s="44">
        <v>18.599999999999998</v>
      </c>
      <c r="W65" s="43">
        <v>62</v>
      </c>
    </row>
    <row r="66" spans="21:23" x14ac:dyDescent="0.2">
      <c r="U66" s="41">
        <v>12.600000000000001</v>
      </c>
      <c r="V66" s="44">
        <v>18.899999999999999</v>
      </c>
      <c r="W66" s="43">
        <v>63</v>
      </c>
    </row>
    <row r="67" spans="21:23" x14ac:dyDescent="0.2">
      <c r="U67" s="41">
        <v>12.8</v>
      </c>
      <c r="V67" s="44">
        <v>19.2</v>
      </c>
      <c r="W67" s="43">
        <v>64</v>
      </c>
    </row>
    <row r="68" spans="21:23" x14ac:dyDescent="0.2">
      <c r="U68" s="41">
        <v>13</v>
      </c>
      <c r="V68" s="44">
        <v>19.5</v>
      </c>
      <c r="W68" s="43">
        <v>65</v>
      </c>
    </row>
    <row r="69" spans="21:23" x14ac:dyDescent="0.2">
      <c r="U69" s="41">
        <v>13.200000000000001</v>
      </c>
      <c r="V69" s="44">
        <v>19.8</v>
      </c>
      <c r="W69" s="43">
        <v>66</v>
      </c>
    </row>
    <row r="70" spans="21:23" x14ac:dyDescent="0.2">
      <c r="U70" s="41">
        <v>13.4</v>
      </c>
      <c r="V70" s="44">
        <v>20.099999999999998</v>
      </c>
      <c r="W70" s="43">
        <v>67</v>
      </c>
    </row>
    <row r="71" spans="21:23" x14ac:dyDescent="0.2">
      <c r="W71" s="46"/>
    </row>
  </sheetData>
  <mergeCells count="6">
    <mergeCell ref="U2:W2"/>
    <mergeCell ref="A2:C2"/>
    <mergeCell ref="E2:G2"/>
    <mergeCell ref="I2:K2"/>
    <mergeCell ref="M2:O2"/>
    <mergeCell ref="Q2:S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10"/>
  <sheetViews>
    <sheetView workbookViewId="0">
      <selection activeCell="C15" sqref="C15"/>
    </sheetView>
  </sheetViews>
  <sheetFormatPr baseColWidth="10" defaultRowHeight="12.75" x14ac:dyDescent="0.2"/>
  <cols>
    <col min="2" max="2" width="12.28515625" bestFit="1" customWidth="1"/>
  </cols>
  <sheetData>
    <row r="1" spans="1:7" ht="15" x14ac:dyDescent="0.25">
      <c r="A1" s="53" t="s">
        <v>177</v>
      </c>
      <c r="B1" s="53"/>
      <c r="C1" t="s">
        <v>178</v>
      </c>
      <c r="D1" t="s">
        <v>179</v>
      </c>
    </row>
    <row r="2" spans="1:7" ht="15" x14ac:dyDescent="0.25">
      <c r="A2" s="54"/>
      <c r="B2" s="54" t="s">
        <v>180</v>
      </c>
      <c r="C2" s="55">
        <v>30</v>
      </c>
      <c r="D2" s="55">
        <v>50</v>
      </c>
    </row>
    <row r="3" spans="1:7" ht="15" x14ac:dyDescent="0.25">
      <c r="A3" s="54"/>
      <c r="B3" s="54" t="s">
        <v>181</v>
      </c>
      <c r="C3" s="55">
        <v>35</v>
      </c>
      <c r="D3" s="55">
        <v>35</v>
      </c>
    </row>
    <row r="4" spans="1:7" ht="15" x14ac:dyDescent="0.25">
      <c r="A4" s="54"/>
      <c r="B4" s="54" t="s">
        <v>182</v>
      </c>
      <c r="C4" s="56">
        <v>0.22</v>
      </c>
      <c r="D4" s="56">
        <v>0.22</v>
      </c>
    </row>
    <row r="5" spans="1:7" ht="15" x14ac:dyDescent="0.25">
      <c r="A5" s="54"/>
      <c r="B5" s="54" t="s">
        <v>183</v>
      </c>
      <c r="C5" s="56">
        <v>0.15</v>
      </c>
      <c r="D5" s="56">
        <v>0.15</v>
      </c>
      <c r="G5" s="57"/>
    </row>
    <row r="8" spans="1:7" ht="15" x14ac:dyDescent="0.2">
      <c r="A8" s="58" t="s">
        <v>184</v>
      </c>
    </row>
    <row r="9" spans="1:7" ht="15" x14ac:dyDescent="0.2">
      <c r="A9" s="58" t="s">
        <v>185</v>
      </c>
    </row>
    <row r="10" spans="1:7" ht="15" x14ac:dyDescent="0.2">
      <c r="A10" s="58" t="s">
        <v>186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5170C-4D37-4AA2-84C6-96EAFC0102A1}">
  <sheetPr>
    <tabColor theme="3" tint="0.59999389629810485"/>
  </sheetPr>
  <dimension ref="A5:H14"/>
  <sheetViews>
    <sheetView workbookViewId="0">
      <selection activeCell="H23" sqref="H23:H24"/>
    </sheetView>
  </sheetViews>
  <sheetFormatPr baseColWidth="10" defaultRowHeight="12.75" x14ac:dyDescent="0.2"/>
  <cols>
    <col min="1" max="1" width="15.140625" customWidth="1"/>
    <col min="2" max="2" width="16.85546875" bestFit="1" customWidth="1"/>
    <col min="3" max="3" width="13.7109375" customWidth="1"/>
    <col min="5" max="5" width="17.28515625" customWidth="1"/>
    <col min="6" max="7" width="15" customWidth="1"/>
    <col min="8" max="8" width="11.28515625" bestFit="1" customWidth="1"/>
  </cols>
  <sheetData>
    <row r="5" spans="1:8" ht="13.5" thickBot="1" x14ac:dyDescent="0.25"/>
    <row r="6" spans="1:8" ht="16.5" thickBot="1" x14ac:dyDescent="0.3">
      <c r="A6" s="68" t="s">
        <v>190</v>
      </c>
      <c r="B6" s="69"/>
      <c r="C6" s="70"/>
      <c r="F6" s="68" t="s">
        <v>193</v>
      </c>
      <c r="G6" s="69"/>
      <c r="H6" s="70"/>
    </row>
    <row r="8" spans="1:8" x14ac:dyDescent="0.2">
      <c r="A8" s="67" t="s">
        <v>204</v>
      </c>
      <c r="B8" s="67" t="s">
        <v>205</v>
      </c>
      <c r="C8" s="67" t="s">
        <v>192</v>
      </c>
      <c r="F8" s="71" t="s">
        <v>194</v>
      </c>
      <c r="G8" s="72" t="s">
        <v>195</v>
      </c>
      <c r="H8" s="72" t="s">
        <v>196</v>
      </c>
    </row>
    <row r="9" spans="1:8" x14ac:dyDescent="0.2">
      <c r="A9" s="67"/>
      <c r="B9" s="67"/>
      <c r="C9" s="67"/>
      <c r="F9" s="71"/>
      <c r="G9" s="72"/>
      <c r="H9" s="72"/>
    </row>
    <row r="10" spans="1:8" ht="13.5" thickBot="1" x14ac:dyDescent="0.25"/>
    <row r="11" spans="1:8" ht="21" thickBot="1" x14ac:dyDescent="0.25">
      <c r="A11" s="76" t="s">
        <v>197</v>
      </c>
      <c r="B11" s="77"/>
      <c r="C11" s="77"/>
      <c r="D11" s="77"/>
      <c r="E11" s="77"/>
      <c r="F11" s="77"/>
      <c r="G11" s="77"/>
      <c r="H11" s="78"/>
    </row>
    <row r="12" spans="1:8" ht="12.75" customHeight="1" x14ac:dyDescent="0.2"/>
    <row r="13" spans="1:8" ht="13.5" customHeight="1" x14ac:dyDescent="0.2">
      <c r="A13" s="73" t="s">
        <v>198</v>
      </c>
      <c r="B13" s="73" t="s">
        <v>191</v>
      </c>
      <c r="C13" s="73" t="s">
        <v>199</v>
      </c>
      <c r="D13" s="73" t="s">
        <v>200</v>
      </c>
      <c r="E13" s="73" t="s">
        <v>201</v>
      </c>
      <c r="F13" s="73" t="s">
        <v>202</v>
      </c>
      <c r="G13" s="73" t="s">
        <v>203</v>
      </c>
      <c r="H13" s="74" t="s">
        <v>206</v>
      </c>
    </row>
    <row r="14" spans="1:8" x14ac:dyDescent="0.2">
      <c r="A14" s="75"/>
      <c r="B14" s="75"/>
      <c r="C14" s="75"/>
      <c r="D14" s="75"/>
      <c r="E14" s="75"/>
      <c r="F14" s="75"/>
      <c r="G14" s="75"/>
      <c r="H14" s="74"/>
    </row>
  </sheetData>
  <mergeCells count="17">
    <mergeCell ref="A11:H11"/>
    <mergeCell ref="H13:H14"/>
    <mergeCell ref="A13:A14"/>
    <mergeCell ref="B13:B14"/>
    <mergeCell ref="C13:C14"/>
    <mergeCell ref="D13:D14"/>
    <mergeCell ref="E13:E14"/>
    <mergeCell ref="F13:F14"/>
    <mergeCell ref="G13:G14"/>
    <mergeCell ref="A8:A9"/>
    <mergeCell ref="B8:B9"/>
    <mergeCell ref="C8:C9"/>
    <mergeCell ref="A6:C6"/>
    <mergeCell ref="F8:F9"/>
    <mergeCell ref="G8:G9"/>
    <mergeCell ref="H8:H9"/>
    <mergeCell ref="F6:H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Descriptif</vt:lpstr>
      <vt:lpstr>Tarif départ IDF</vt:lpstr>
      <vt:lpstr>Hors IDF ZC</vt:lpstr>
      <vt:lpstr>Hors IDF ZL</vt:lpstr>
      <vt:lpstr>€ km</vt:lpstr>
      <vt:lpstr>Equivalence Mpl Palette</vt:lpstr>
      <vt:lpstr>Frais Annexes</vt:lpstr>
      <vt:lpstr>Model de recherche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Fretplus</dc:creator>
  <cp:lastModifiedBy>Mustapha OUARTI</cp:lastModifiedBy>
  <dcterms:created xsi:type="dcterms:W3CDTF">2020-01-20T13:37:43Z</dcterms:created>
  <dcterms:modified xsi:type="dcterms:W3CDTF">2025-10-28T13:35:09Z</dcterms:modified>
</cp:coreProperties>
</file>